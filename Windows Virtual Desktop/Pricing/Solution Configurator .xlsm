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6.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02" codeName="{00000000-0000-0000-0000-000000000000}"/>
  <workbookPr codeName="ThisWorkbook"/>
  <mc:AlternateContent xmlns:mc="http://schemas.openxmlformats.org/markup-compatibility/2006">
    <mc:Choice Requires="x15">
      <x15ac:absPath xmlns:x15ac="http://schemas.microsoft.com/office/spreadsheetml/2010/11/ac" url="D:\TempUserProfiles\NetworkService\AppData\Local\Packages\oice_16_974fa576_32c1d314_21fe\AC\Temp\"/>
    </mc:Choice>
  </mc:AlternateContent>
  <xr:revisionPtr revIDLastSave="14" documentId="13_ncr:1_{7A23A127-E6F4-4119-B85C-642639245C6F}" xr6:coauthVersionLast="45" xr6:coauthVersionMax="45" xr10:uidLastSave="{31ABC719-1B55-455C-829D-54AE9A9C4D43}"/>
  <bookViews>
    <workbookView xWindow="-105" yWindow="-105" windowWidth="22695" windowHeight="14595" tabRatio="767" xr2:uid="{00000000-000D-0000-FFFF-FFFF00000000}"/>
  </bookViews>
  <sheets>
    <sheet name="How To" sheetId="15" r:id="rId1"/>
    <sheet name="Change Log" sheetId="32" r:id="rId2"/>
    <sheet name="Simple Version&gt;&gt;&gt;" sheetId="30" r:id="rId3"/>
    <sheet name="0. Quick Solution (Infra ONLY)" sheetId="29" r:id="rId4"/>
    <sheet name="Comprehensive Version&gt;&gt;&gt;" sheetId="31" r:id="rId5"/>
    <sheet name="1. Opportunity Profile" sheetId="21" r:id="rId6"/>
    <sheet name="2. Desktop License Cost" sheetId="11" r:id="rId7"/>
    <sheet name="3. WVD Management Cost" sheetId="10" r:id="rId8"/>
    <sheet name="4. Infrastructure Cost" sheetId="19" r:id="rId9"/>
    <sheet name="Default Values (MSFT Guidance)" sheetId="25" r:id="rId10"/>
    <sheet name="5. Service Cost" sheetId="22" r:id="rId11"/>
    <sheet name="6. Cost Benefit Analysis" sheetId="26" r:id="rId12"/>
    <sheet name="Reference" sheetId="18" r:id="rId13"/>
    <sheet name="WVD Licensing Requirement" sheetId="27" r:id="rId14"/>
  </sheets>
  <definedNames>
    <definedName name="Client_based">'WVD Licensing Requirement'!$B$4:$B$10</definedName>
    <definedName name="Currency">'1. Opportunity Profile'!$D$7</definedName>
    <definedName name="Currency_QS" localSheetId="3">'0. Quick Solution (Infra ONLY)'!$D$7</definedName>
    <definedName name="Currency_QS" localSheetId="8">'0. Quick Solution (Infra ONLY)'!$D$7</definedName>
    <definedName name="Server_based">'WVD Licensing Requirement'!$C$4:$C$4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10" l="1"/>
  <c r="H10" i="10"/>
  <c r="H11" i="10"/>
  <c r="H130" i="19" l="1"/>
  <c r="B16" i="25"/>
  <c r="E20" i="10"/>
  <c r="H20" i="10"/>
  <c r="F125" i="29"/>
  <c r="G125" i="29"/>
  <c r="H125" i="29"/>
  <c r="F91" i="29"/>
  <c r="F93" i="29" s="1"/>
  <c r="G91" i="29"/>
  <c r="G93" i="29" s="1"/>
  <c r="H91" i="29"/>
  <c r="H93" i="29" s="1"/>
  <c r="D16" i="25"/>
  <c r="E16" i="25"/>
  <c r="F16" i="25"/>
  <c r="C16" i="25"/>
  <c r="E63" i="21" l="1"/>
  <c r="F63" i="21"/>
  <c r="G63" i="21"/>
  <c r="H63" i="21"/>
  <c r="D63" i="21"/>
  <c r="F173" i="29" l="1"/>
  <c r="G173" i="29"/>
  <c r="H173" i="29"/>
  <c r="I34" i="26" l="1"/>
  <c r="E18" i="26"/>
  <c r="F18" i="26"/>
  <c r="G18" i="26"/>
  <c r="H18" i="26"/>
  <c r="D18" i="26"/>
  <c r="D202" i="19"/>
  <c r="D211" i="19" s="1"/>
  <c r="E202" i="19"/>
  <c r="E211" i="19" s="1"/>
  <c r="F202" i="19"/>
  <c r="F211" i="19" s="1"/>
  <c r="G202" i="19"/>
  <c r="G211" i="19" s="1"/>
  <c r="H202" i="19"/>
  <c r="H211" i="19" s="1"/>
  <c r="G110" i="26" l="1"/>
  <c r="G125" i="26"/>
  <c r="F110" i="26"/>
  <c r="F125" i="26"/>
  <c r="D110" i="26"/>
  <c r="D125" i="26"/>
  <c r="E110" i="26"/>
  <c r="E125" i="26"/>
  <c r="H110" i="26"/>
  <c r="H125" i="26"/>
  <c r="I18" i="26"/>
  <c r="F32" i="29"/>
  <c r="G32" i="29"/>
  <c r="H32" i="29"/>
  <c r="I110" i="26" l="1"/>
  <c r="I125" i="26"/>
  <c r="B8" i="25"/>
  <c r="B9" i="25"/>
  <c r="F76" i="19"/>
  <c r="G76" i="19"/>
  <c r="H76" i="19"/>
  <c r="H80" i="19" s="1"/>
  <c r="H81" i="19" s="1"/>
  <c r="F83" i="19"/>
  <c r="G83" i="19"/>
  <c r="H83" i="19"/>
  <c r="E77" i="29"/>
  <c r="F77" i="29"/>
  <c r="G77" i="29"/>
  <c r="H77" i="29"/>
  <c r="F42" i="29"/>
  <c r="G42" i="29"/>
  <c r="H42" i="29"/>
  <c r="E70" i="29"/>
  <c r="F70" i="29"/>
  <c r="G70" i="29"/>
  <c r="H70" i="29"/>
  <c r="E76" i="19"/>
  <c r="D76" i="19"/>
  <c r="D70" i="29"/>
  <c r="G79" i="19" l="1"/>
  <c r="G67" i="26"/>
  <c r="F79" i="19"/>
  <c r="F67" i="26"/>
  <c r="H78" i="19"/>
  <c r="H67" i="26"/>
  <c r="E67" i="26"/>
  <c r="D67" i="26"/>
  <c r="H79" i="19"/>
  <c r="G77" i="19"/>
  <c r="F77" i="19"/>
  <c r="G78" i="19"/>
  <c r="G80" i="19"/>
  <c r="G81" i="19" s="1"/>
  <c r="F78" i="19"/>
  <c r="F80" i="19"/>
  <c r="F81" i="19" s="1"/>
  <c r="H77" i="19"/>
  <c r="H74" i="29"/>
  <c r="G73" i="29"/>
  <c r="F73" i="29"/>
  <c r="E73" i="29"/>
  <c r="H71" i="29"/>
  <c r="G74" i="29"/>
  <c r="F74" i="29"/>
  <c r="E74" i="29"/>
  <c r="H72" i="29"/>
  <c r="G71" i="29"/>
  <c r="F71" i="29"/>
  <c r="E71" i="29"/>
  <c r="H73" i="29"/>
  <c r="G72" i="29"/>
  <c r="F72" i="29"/>
  <c r="E72" i="29"/>
  <c r="E78" i="19"/>
  <c r="E77" i="19"/>
  <c r="E79" i="19"/>
  <c r="E80" i="19"/>
  <c r="D73" i="29"/>
  <c r="D72" i="29"/>
  <c r="D74" i="29"/>
  <c r="E81" i="19" l="1"/>
  <c r="E75" i="29"/>
  <c r="F75" i="29"/>
  <c r="G75" i="29"/>
  <c r="H75" i="29"/>
  <c r="E8" i="26"/>
  <c r="F8" i="26"/>
  <c r="G8" i="26"/>
  <c r="H8" i="26"/>
  <c r="D8" i="26"/>
  <c r="D7" i="26" l="1"/>
  <c r="D199" i="19" l="1"/>
  <c r="E199" i="19"/>
  <c r="F199" i="19"/>
  <c r="G199" i="19"/>
  <c r="H199" i="19"/>
  <c r="D200" i="19"/>
  <c r="E200" i="19"/>
  <c r="F200" i="19"/>
  <c r="G200" i="19"/>
  <c r="H200" i="19"/>
  <c r="D201" i="19"/>
  <c r="E201" i="19"/>
  <c r="F201" i="19"/>
  <c r="G201" i="19"/>
  <c r="H201" i="19"/>
  <c r="E198" i="19"/>
  <c r="F198" i="19"/>
  <c r="G198" i="19"/>
  <c r="H198" i="19"/>
  <c r="D198" i="19"/>
  <c r="D141" i="26"/>
  <c r="E141" i="26"/>
  <c r="F141" i="26"/>
  <c r="G141" i="26"/>
  <c r="H141" i="26"/>
  <c r="D203" i="19" l="1"/>
  <c r="E203" i="19"/>
  <c r="H203" i="19"/>
  <c r="G203" i="19"/>
  <c r="F203" i="19"/>
  <c r="E14" i="26"/>
  <c r="F14" i="26"/>
  <c r="G14" i="26"/>
  <c r="H14" i="26"/>
  <c r="H121" i="26" s="1"/>
  <c r="E15" i="26"/>
  <c r="F15" i="26"/>
  <c r="G15" i="26"/>
  <c r="H15" i="26"/>
  <c r="H122" i="26" s="1"/>
  <c r="E16" i="26"/>
  <c r="F16" i="26"/>
  <c r="G16" i="26"/>
  <c r="H16" i="26"/>
  <c r="H123" i="26" s="1"/>
  <c r="E17" i="26"/>
  <c r="E124" i="26" s="1"/>
  <c r="F17" i="26"/>
  <c r="F124" i="26" s="1"/>
  <c r="G17" i="26"/>
  <c r="G124" i="26" s="1"/>
  <c r="H17" i="26"/>
  <c r="H124" i="26" s="1"/>
  <c r="D17" i="26"/>
  <c r="D124" i="26" s="1"/>
  <c r="D16" i="26"/>
  <c r="D15" i="26"/>
  <c r="D14" i="26"/>
  <c r="I16" i="26" l="1"/>
  <c r="E13" i="26"/>
  <c r="D13" i="26"/>
  <c r="H13" i="26"/>
  <c r="H120" i="26" s="1"/>
  <c r="G13" i="26"/>
  <c r="F13" i="26"/>
  <c r="I17" i="26"/>
  <c r="I124" i="26" s="1"/>
  <c r="I14" i="26"/>
  <c r="I15" i="26"/>
  <c r="E72" i="26"/>
  <c r="F72" i="26"/>
  <c r="G72" i="26"/>
  <c r="H72" i="26"/>
  <c r="D72" i="26"/>
  <c r="E71" i="26"/>
  <c r="F71" i="26"/>
  <c r="G71" i="26"/>
  <c r="H71" i="26"/>
  <c r="D71" i="26"/>
  <c r="F16" i="10" l="1"/>
  <c r="H7" i="10" l="1"/>
  <c r="G7" i="10"/>
  <c r="F7" i="10"/>
  <c r="F20" i="10" s="1"/>
  <c r="E7" i="10"/>
  <c r="D7" i="10"/>
  <c r="D20" i="10" s="1"/>
  <c r="C7" i="10"/>
  <c r="F44" i="29" l="1"/>
  <c r="G44" i="29"/>
  <c r="H44" i="29"/>
  <c r="E101" i="19" l="1"/>
  <c r="F101" i="19"/>
  <c r="G101" i="19"/>
  <c r="H101" i="19"/>
  <c r="D101" i="19"/>
  <c r="C100" i="19"/>
  <c r="C110" i="19"/>
  <c r="C95" i="29"/>
  <c r="C105" i="29"/>
  <c r="F99" i="29" l="1"/>
  <c r="F101" i="29" s="1"/>
  <c r="G99" i="29"/>
  <c r="G101" i="29" s="1"/>
  <c r="H99" i="29"/>
  <c r="H101" i="29" s="1"/>
  <c r="E103" i="29"/>
  <c r="F103" i="29"/>
  <c r="G103" i="29"/>
  <c r="H103" i="29"/>
  <c r="E96" i="29"/>
  <c r="F96" i="29"/>
  <c r="G96" i="29"/>
  <c r="H96" i="29"/>
  <c r="D96" i="29"/>
  <c r="F164" i="29" l="1"/>
  <c r="F166" i="29" s="1"/>
  <c r="F174" i="29" s="1"/>
  <c r="G164" i="29"/>
  <c r="G166" i="29" s="1"/>
  <c r="G174" i="29" s="1"/>
  <c r="H164" i="29"/>
  <c r="H166" i="29" s="1"/>
  <c r="H174" i="29" s="1"/>
  <c r="F163" i="29"/>
  <c r="G163" i="29"/>
  <c r="H163" i="29"/>
  <c r="F159" i="29"/>
  <c r="F161" i="29" s="1"/>
  <c r="G159" i="29"/>
  <c r="G161" i="29" s="1"/>
  <c r="H159" i="29"/>
  <c r="H161" i="29" s="1"/>
  <c r="E156" i="29"/>
  <c r="E158" i="29" s="1"/>
  <c r="F156" i="29"/>
  <c r="F158" i="29" s="1"/>
  <c r="G156" i="29"/>
  <c r="G158" i="29" s="1"/>
  <c r="H156" i="29"/>
  <c r="H158" i="29" s="1"/>
  <c r="D156" i="29"/>
  <c r="D158" i="29" s="1"/>
  <c r="E123" i="29" l="1"/>
  <c r="F123" i="29"/>
  <c r="G123" i="29"/>
  <c r="H123" i="29"/>
  <c r="D123" i="29"/>
  <c r="E38" i="29" l="1"/>
  <c r="E40" i="29" s="1"/>
  <c r="F38" i="29"/>
  <c r="F40" i="29" s="1"/>
  <c r="G38" i="29"/>
  <c r="G40" i="29" s="1"/>
  <c r="H38" i="29"/>
  <c r="H40" i="29" s="1"/>
  <c r="E44" i="29" l="1"/>
  <c r="E26" i="29"/>
  <c r="E27" i="29" s="1"/>
  <c r="E125" i="29" s="1"/>
  <c r="F26" i="29"/>
  <c r="F27" i="29" s="1"/>
  <c r="G26" i="29"/>
  <c r="G27" i="29" s="1"/>
  <c r="H26" i="29"/>
  <c r="F43" i="29"/>
  <c r="F45" i="29" s="1"/>
  <c r="G43" i="29"/>
  <c r="G45" i="29" s="1"/>
  <c r="H43" i="29"/>
  <c r="H45" i="29" s="1"/>
  <c r="H28" i="29" l="1"/>
  <c r="H27" i="29"/>
  <c r="G28" i="29"/>
  <c r="F28" i="29"/>
  <c r="E28" i="29"/>
  <c r="E151" i="19"/>
  <c r="F151" i="19"/>
  <c r="G151" i="19"/>
  <c r="H151" i="19"/>
  <c r="D38" i="29" l="1"/>
  <c r="D40" i="29" s="1"/>
  <c r="D44" i="29" s="1"/>
  <c r="D151" i="19" l="1"/>
  <c r="D86" i="26" s="1"/>
  <c r="E146" i="29"/>
  <c r="F146" i="29"/>
  <c r="G146" i="29"/>
  <c r="H146" i="29"/>
  <c r="D146" i="29"/>
  <c r="F137" i="29"/>
  <c r="F139" i="29" s="1"/>
  <c r="G137" i="29"/>
  <c r="G139" i="29" s="1"/>
  <c r="H137" i="29"/>
  <c r="H139" i="29" s="1"/>
  <c r="F136" i="29"/>
  <c r="G136" i="29"/>
  <c r="H136" i="29"/>
  <c r="F133" i="29"/>
  <c r="G133" i="29"/>
  <c r="H133" i="29"/>
  <c r="H135" i="29" l="1"/>
  <c r="H140" i="29" s="1"/>
  <c r="H141" i="29" s="1"/>
  <c r="G135" i="29"/>
  <c r="G140" i="29" s="1"/>
  <c r="G142" i="29" s="1"/>
  <c r="F135" i="29"/>
  <c r="F140" i="29" s="1"/>
  <c r="F144" i="29" s="1"/>
  <c r="F145" i="29" s="1"/>
  <c r="E36" i="29"/>
  <c r="E42" i="29"/>
  <c r="E37" i="29"/>
  <c r="H143" i="29" l="1"/>
  <c r="H144" i="29"/>
  <c r="H145" i="29" s="1"/>
  <c r="G141" i="29"/>
  <c r="F141" i="29"/>
  <c r="F143" i="29"/>
  <c r="G143" i="29"/>
  <c r="G144" i="29"/>
  <c r="G145" i="29" s="1"/>
  <c r="F142" i="29"/>
  <c r="H142" i="29"/>
  <c r="E102" i="26"/>
  <c r="F102" i="26"/>
  <c r="G102" i="26"/>
  <c r="H102" i="26"/>
  <c r="D102" i="26"/>
  <c r="D89" i="26"/>
  <c r="E89" i="26"/>
  <c r="F89" i="26"/>
  <c r="G89" i="26"/>
  <c r="H89" i="26"/>
  <c r="E79" i="26"/>
  <c r="F79" i="26"/>
  <c r="G79" i="26"/>
  <c r="H79" i="26"/>
  <c r="E81" i="26"/>
  <c r="F81" i="26"/>
  <c r="G81" i="26"/>
  <c r="H81" i="26"/>
  <c r="E82" i="26"/>
  <c r="E83" i="26" s="1"/>
  <c r="F82" i="26"/>
  <c r="F83" i="26" s="1"/>
  <c r="G82" i="26"/>
  <c r="G83" i="26" s="1"/>
  <c r="H82" i="26"/>
  <c r="H83" i="26" s="1"/>
  <c r="D82" i="26"/>
  <c r="D83" i="26" s="1"/>
  <c r="D81" i="26"/>
  <c r="D79" i="26"/>
  <c r="E48" i="26"/>
  <c r="F48" i="26"/>
  <c r="G48" i="26"/>
  <c r="H48" i="26"/>
  <c r="E49" i="26"/>
  <c r="F49" i="26"/>
  <c r="G49" i="26"/>
  <c r="H49" i="26"/>
  <c r="D49" i="26"/>
  <c r="D48" i="26"/>
  <c r="E47" i="26"/>
  <c r="F47" i="26"/>
  <c r="G47" i="26"/>
  <c r="H47" i="26"/>
  <c r="D47" i="26"/>
  <c r="D46" i="26"/>
  <c r="E46" i="26"/>
  <c r="F46" i="26"/>
  <c r="G46" i="26"/>
  <c r="H46" i="26"/>
  <c r="E45" i="26"/>
  <c r="F45" i="26"/>
  <c r="G45" i="26"/>
  <c r="H45" i="26"/>
  <c r="D45" i="26"/>
  <c r="B2" i="25" l="1"/>
  <c r="B10" i="25"/>
  <c r="B11" i="25"/>
  <c r="B12" i="25"/>
  <c r="B13" i="25"/>
  <c r="B14" i="25"/>
  <c r="B15" i="25"/>
  <c r="B18" i="25"/>
  <c r="B19" i="25"/>
  <c r="B24" i="25"/>
  <c r="B25" i="25"/>
  <c r="B26" i="25"/>
  <c r="B27" i="25"/>
  <c r="C29" i="29" l="1"/>
  <c r="K175" i="29" l="1"/>
  <c r="G177" i="29"/>
  <c r="H177" i="29"/>
  <c r="F110" i="29"/>
  <c r="F112" i="29" s="1"/>
  <c r="G110" i="29"/>
  <c r="G112" i="29" s="1"/>
  <c r="H110" i="29"/>
  <c r="H112" i="29" s="1"/>
  <c r="F107" i="29"/>
  <c r="F109" i="29" s="1"/>
  <c r="F113" i="29" s="1"/>
  <c r="G107" i="29"/>
  <c r="G109" i="29" s="1"/>
  <c r="G113" i="29" s="1"/>
  <c r="H107" i="29"/>
  <c r="H109" i="29" s="1"/>
  <c r="H113" i="29" s="1"/>
  <c r="H114" i="29" s="1"/>
  <c r="G89" i="29"/>
  <c r="H89" i="29"/>
  <c r="F86" i="29"/>
  <c r="G86" i="29"/>
  <c r="H86" i="29"/>
  <c r="F53" i="29"/>
  <c r="F55" i="29" s="1"/>
  <c r="G53" i="29"/>
  <c r="G55" i="29" s="1"/>
  <c r="H53" i="29"/>
  <c r="H55" i="29" s="1"/>
  <c r="F52" i="29"/>
  <c r="G52" i="29"/>
  <c r="H52" i="29"/>
  <c r="F49" i="29"/>
  <c r="G49" i="29"/>
  <c r="H49" i="29"/>
  <c r="G46" i="29"/>
  <c r="H46" i="29"/>
  <c r="H76" i="29"/>
  <c r="H130" i="29"/>
  <c r="G130" i="29"/>
  <c r="F130" i="29"/>
  <c r="H124" i="29"/>
  <c r="G124" i="29"/>
  <c r="F124" i="29"/>
  <c r="E124" i="29"/>
  <c r="D124" i="29"/>
  <c r="G37" i="29"/>
  <c r="H37" i="29"/>
  <c r="G35" i="29"/>
  <c r="H35" i="29"/>
  <c r="G36" i="29"/>
  <c r="H36" i="29"/>
  <c r="F34" i="29"/>
  <c r="F35" i="29" s="1"/>
  <c r="G34" i="29"/>
  <c r="H34" i="29"/>
  <c r="F29" i="29"/>
  <c r="F31" i="29" s="1"/>
  <c r="G29" i="29"/>
  <c r="G31" i="29" s="1"/>
  <c r="H29" i="29"/>
  <c r="H31" i="29" s="1"/>
  <c r="D26" i="29"/>
  <c r="D27" i="29" s="1"/>
  <c r="D125" i="29" s="1"/>
  <c r="B2" i="29"/>
  <c r="F36" i="29"/>
  <c r="F37" i="29"/>
  <c r="G129" i="29"/>
  <c r="H129" i="29"/>
  <c r="F129" i="29"/>
  <c r="D129" i="29"/>
  <c r="E129" i="29"/>
  <c r="E46" i="29" l="1"/>
  <c r="F147" i="29"/>
  <c r="F148" i="29" s="1"/>
  <c r="H147" i="29"/>
  <c r="H148" i="29" s="1"/>
  <c r="G147" i="29"/>
  <c r="G148" i="29" s="1"/>
  <c r="F51" i="29"/>
  <c r="F56" i="29" s="1"/>
  <c r="F58" i="29" s="1"/>
  <c r="H51" i="29"/>
  <c r="H56" i="29" s="1"/>
  <c r="H59" i="29" s="1"/>
  <c r="G51" i="29"/>
  <c r="G56" i="29" s="1"/>
  <c r="G59" i="29" s="1"/>
  <c r="H79" i="29"/>
  <c r="H172" i="29" s="1"/>
  <c r="G79" i="29"/>
  <c r="G172" i="29" s="1"/>
  <c r="G62" i="29"/>
  <c r="G76" i="29"/>
  <c r="E130" i="29"/>
  <c r="D130" i="29"/>
  <c r="F88" i="29"/>
  <c r="F89" i="29" s="1"/>
  <c r="F150" i="29"/>
  <c r="H88" i="29"/>
  <c r="H150" i="29"/>
  <c r="H63" i="29"/>
  <c r="H62" i="29"/>
  <c r="G88" i="29"/>
  <c r="G150" i="29"/>
  <c r="G116" i="29"/>
  <c r="G115" i="29"/>
  <c r="G117" i="29"/>
  <c r="G114" i="29"/>
  <c r="G118" i="29" s="1"/>
  <c r="G119" i="29" s="1"/>
  <c r="H115" i="29"/>
  <c r="H117" i="29"/>
  <c r="H116" i="29"/>
  <c r="G63" i="29"/>
  <c r="H118" i="29"/>
  <c r="H119" i="29" s="1"/>
  <c r="O5" i="26"/>
  <c r="O4" i="26"/>
  <c r="F24" i="10"/>
  <c r="F215" i="19"/>
  <c r="C215" i="19"/>
  <c r="F116" i="29"/>
  <c r="F57" i="29"/>
  <c r="F117" i="29"/>
  <c r="F114" i="29"/>
  <c r="F115" i="29"/>
  <c r="F60" i="29"/>
  <c r="H57" i="29" l="1"/>
  <c r="H60" i="29"/>
  <c r="H61" i="29" s="1"/>
  <c r="H58" i="29"/>
  <c r="F59" i="29"/>
  <c r="G57" i="29"/>
  <c r="G60" i="29"/>
  <c r="G61" i="29" s="1"/>
  <c r="G58" i="29"/>
  <c r="G176" i="29"/>
  <c r="H176" i="29"/>
  <c r="H64" i="29"/>
  <c r="G64" i="29"/>
  <c r="F118" i="29"/>
  <c r="F119" i="29" s="1"/>
  <c r="F61" i="29"/>
  <c r="E65" i="21"/>
  <c r="F65" i="21"/>
  <c r="G65" i="21"/>
  <c r="H65" i="21"/>
  <c r="D65" i="21"/>
  <c r="I141" i="26"/>
  <c r="K193" i="19"/>
  <c r="F62" i="29" l="1"/>
  <c r="F76" i="29"/>
  <c r="F63" i="29"/>
  <c r="F46" i="29"/>
  <c r="F79" i="29" l="1"/>
  <c r="F172" i="29" s="1"/>
  <c r="F176" i="29" s="1"/>
  <c r="F64" i="29"/>
  <c r="F177" i="29"/>
  <c r="E52" i="21"/>
  <c r="F52" i="21"/>
  <c r="G52" i="21"/>
  <c r="H52" i="21"/>
  <c r="D52" i="21"/>
  <c r="E79" i="29" l="1"/>
  <c r="E172" i="29" s="1"/>
  <c r="C25" i="25"/>
  <c r="C27" i="25"/>
  <c r="E128" i="19"/>
  <c r="E80" i="26" s="1"/>
  <c r="F128" i="19"/>
  <c r="F80" i="26" s="1"/>
  <c r="G128" i="19"/>
  <c r="G80" i="26" s="1"/>
  <c r="H128" i="19"/>
  <c r="H80" i="26" s="1"/>
  <c r="D128" i="19"/>
  <c r="D80" i="26" s="1"/>
  <c r="E7" i="11" l="1"/>
  <c r="F7" i="11"/>
  <c r="G7" i="11"/>
  <c r="H7" i="11"/>
  <c r="E8" i="11"/>
  <c r="E49" i="11" s="1"/>
  <c r="E52" i="11" s="1"/>
  <c r="F8" i="11"/>
  <c r="F49" i="11" s="1"/>
  <c r="F52" i="11" s="1"/>
  <c r="G8" i="11"/>
  <c r="G49" i="11" s="1"/>
  <c r="G52" i="11" s="1"/>
  <c r="H8" i="11"/>
  <c r="H49" i="11" s="1"/>
  <c r="H52" i="11" s="1"/>
  <c r="D7" i="11"/>
  <c r="D8" i="11"/>
  <c r="D49" i="11" s="1"/>
  <c r="D52" i="11" s="1"/>
  <c r="E8" i="10"/>
  <c r="F8" i="10"/>
  <c r="G8" i="10"/>
  <c r="H8" i="10"/>
  <c r="D8" i="10"/>
  <c r="E18" i="10"/>
  <c r="E37" i="26" s="1"/>
  <c r="F18" i="10"/>
  <c r="F37" i="26" s="1"/>
  <c r="G18" i="10"/>
  <c r="G20" i="10" s="1"/>
  <c r="H18" i="10"/>
  <c r="D18" i="10"/>
  <c r="D37" i="26" s="1"/>
  <c r="F9" i="10" l="1"/>
  <c r="F10" i="10"/>
  <c r="F11" i="10"/>
  <c r="D10" i="10"/>
  <c r="D9" i="10"/>
  <c r="D11" i="10"/>
  <c r="G9" i="10"/>
  <c r="G10" i="10"/>
  <c r="G11" i="10"/>
  <c r="E9" i="10"/>
  <c r="E10" i="10"/>
  <c r="E11" i="10"/>
  <c r="H70" i="11"/>
  <c r="H71" i="11"/>
  <c r="G70" i="11"/>
  <c r="F70" i="11"/>
  <c r="D70" i="11"/>
  <c r="E70" i="11"/>
  <c r="G65" i="11"/>
  <c r="E65" i="11"/>
  <c r="F65" i="11"/>
  <c r="D65" i="11"/>
  <c r="H65" i="11"/>
  <c r="H66" i="11"/>
  <c r="G60" i="11"/>
  <c r="F60" i="11"/>
  <c r="D60" i="11"/>
  <c r="E60" i="11"/>
  <c r="H60" i="11"/>
  <c r="H61" i="11"/>
  <c r="H12" i="10"/>
  <c r="H37" i="26"/>
  <c r="G37" i="26"/>
  <c r="E59" i="11"/>
  <c r="D59" i="11"/>
  <c r="H59" i="11"/>
  <c r="G59" i="11"/>
  <c r="F59" i="11"/>
  <c r="E129" i="19"/>
  <c r="F129" i="19"/>
  <c r="G129" i="19"/>
  <c r="H129" i="19"/>
  <c r="D129" i="19"/>
  <c r="G12" i="10" l="1"/>
  <c r="G21" i="10" s="1"/>
  <c r="D12" i="10"/>
  <c r="D21" i="26" s="1"/>
  <c r="D128" i="26" s="1"/>
  <c r="H21" i="10"/>
  <c r="F12" i="10"/>
  <c r="F21" i="26" s="1"/>
  <c r="F128" i="26" s="1"/>
  <c r="E12" i="10"/>
  <c r="E21" i="26" s="1"/>
  <c r="E128" i="26" s="1"/>
  <c r="F86" i="26"/>
  <c r="E86" i="26"/>
  <c r="H86" i="26"/>
  <c r="G86" i="26"/>
  <c r="I37" i="26"/>
  <c r="D21" i="10" l="1"/>
  <c r="F21" i="10"/>
  <c r="E21" i="10"/>
  <c r="E28" i="26"/>
  <c r="E53" i="26" s="1"/>
  <c r="F28" i="26"/>
  <c r="F53" i="26" s="1"/>
  <c r="G28" i="26"/>
  <c r="G53" i="26" s="1"/>
  <c r="H28" i="26"/>
  <c r="H53" i="26" s="1"/>
  <c r="D28" i="26"/>
  <c r="D53" i="26" s="1"/>
  <c r="E11" i="26"/>
  <c r="E50" i="26" s="1"/>
  <c r="F11" i="26"/>
  <c r="F50" i="26" s="1"/>
  <c r="G11" i="26"/>
  <c r="G50" i="26" s="1"/>
  <c r="H11" i="26"/>
  <c r="H50" i="26" s="1"/>
  <c r="E12" i="26"/>
  <c r="E51" i="26" s="1"/>
  <c r="F12" i="26"/>
  <c r="F51" i="26" s="1"/>
  <c r="G12" i="26"/>
  <c r="G51" i="26" s="1"/>
  <c r="H12" i="26"/>
  <c r="H51" i="26" s="1"/>
  <c r="D12" i="26"/>
  <c r="D51" i="26" s="1"/>
  <c r="D11" i="26"/>
  <c r="D50" i="26" s="1"/>
  <c r="G21" i="26" l="1"/>
  <c r="G128" i="26" s="1"/>
  <c r="H21" i="26"/>
  <c r="H128" i="26" s="1"/>
  <c r="I21" i="26" l="1"/>
  <c r="I128" i="26" s="1"/>
  <c r="E22" i="26"/>
  <c r="E129" i="26" s="1"/>
  <c r="F22" i="26"/>
  <c r="F129" i="26" s="1"/>
  <c r="G22" i="26"/>
  <c r="G129" i="26" s="1"/>
  <c r="H22" i="26"/>
  <c r="H129" i="26" s="1"/>
  <c r="E23" i="26"/>
  <c r="E130" i="26" s="1"/>
  <c r="F23" i="26"/>
  <c r="F130" i="26" s="1"/>
  <c r="G23" i="26"/>
  <c r="G130" i="26" s="1"/>
  <c r="H23" i="26"/>
  <c r="H130" i="26" s="1"/>
  <c r="D23" i="26"/>
  <c r="D130" i="26" s="1"/>
  <c r="D22" i="26"/>
  <c r="D129" i="26" s="1"/>
  <c r="I113" i="26" l="1"/>
  <c r="I22" i="26"/>
  <c r="I129" i="26" s="1"/>
  <c r="G39" i="26"/>
  <c r="I23" i="26"/>
  <c r="I130" i="26" s="1"/>
  <c r="E7" i="26" l="1"/>
  <c r="F7" i="26"/>
  <c r="G7" i="26"/>
  <c r="H7" i="26"/>
  <c r="I7" i="26" l="1"/>
  <c r="E161" i="19"/>
  <c r="F161" i="19"/>
  <c r="G161" i="19"/>
  <c r="H161" i="19"/>
  <c r="D161" i="19"/>
  <c r="E22" i="19"/>
  <c r="F22" i="19"/>
  <c r="G22" i="19"/>
  <c r="H22" i="19"/>
  <c r="E23" i="19"/>
  <c r="F23" i="19"/>
  <c r="G23" i="19"/>
  <c r="H23" i="19"/>
  <c r="D23" i="19"/>
  <c r="D22" i="19"/>
  <c r="E18" i="19"/>
  <c r="F18" i="19"/>
  <c r="G18" i="19"/>
  <c r="H18" i="19"/>
  <c r="E20" i="19"/>
  <c r="F20" i="19"/>
  <c r="G20" i="19"/>
  <c r="H20" i="19"/>
  <c r="D20" i="19"/>
  <c r="D18" i="19"/>
  <c r="G163" i="19" l="1"/>
  <c r="G90" i="26" s="1"/>
  <c r="G88" i="26"/>
  <c r="F163" i="19"/>
  <c r="F90" i="26" s="1"/>
  <c r="F88" i="26"/>
  <c r="D163" i="19"/>
  <c r="D90" i="26" s="1"/>
  <c r="D88" i="26"/>
  <c r="E163" i="19"/>
  <c r="E90" i="26" s="1"/>
  <c r="E88" i="26"/>
  <c r="H163" i="19"/>
  <c r="H90" i="26" s="1"/>
  <c r="H88" i="26"/>
  <c r="E24" i="19"/>
  <c r="E41" i="19" s="1"/>
  <c r="E43" i="19" s="1"/>
  <c r="F24" i="19"/>
  <c r="F41" i="19" s="1"/>
  <c r="F43" i="19" s="1"/>
  <c r="G24" i="19"/>
  <c r="G41" i="19" s="1"/>
  <c r="G43" i="19" s="1"/>
  <c r="H24" i="19"/>
  <c r="H41" i="19" s="1"/>
  <c r="H43" i="19" s="1"/>
  <c r="H51" i="19" s="1"/>
  <c r="D24" i="19"/>
  <c r="D41" i="19" s="1"/>
  <c r="E12" i="19"/>
  <c r="F12" i="19"/>
  <c r="G12" i="19"/>
  <c r="H12" i="19"/>
  <c r="D12" i="19"/>
  <c r="F47" i="19" l="1"/>
  <c r="G10" i="19"/>
  <c r="H10" i="19"/>
  <c r="H47" i="19"/>
  <c r="G47" i="19"/>
  <c r="E47" i="19"/>
  <c r="K187" i="19"/>
  <c r="D204" i="19"/>
  <c r="D10" i="19"/>
  <c r="E204" i="19"/>
  <c r="E10" i="19"/>
  <c r="F204" i="19"/>
  <c r="F10" i="19"/>
  <c r="H204" i="19"/>
  <c r="G204" i="19"/>
  <c r="D43" i="19"/>
  <c r="H60" i="26"/>
  <c r="G60" i="26"/>
  <c r="E19" i="19"/>
  <c r="F25" i="19"/>
  <c r="D19" i="19"/>
  <c r="H19" i="19"/>
  <c r="E25" i="19"/>
  <c r="F60" i="26"/>
  <c r="D25" i="19"/>
  <c r="G25" i="19"/>
  <c r="H25" i="19"/>
  <c r="H21" i="19"/>
  <c r="G19" i="19"/>
  <c r="F19" i="19"/>
  <c r="G21" i="19"/>
  <c r="F21" i="19"/>
  <c r="D21" i="19"/>
  <c r="E21" i="19"/>
  <c r="H134" i="19"/>
  <c r="D80" i="19"/>
  <c r="D79" i="19"/>
  <c r="D77" i="19"/>
  <c r="D78" i="19"/>
  <c r="D134" i="19"/>
  <c r="E134" i="19"/>
  <c r="F134" i="19"/>
  <c r="G134" i="19"/>
  <c r="D81" i="19" l="1"/>
  <c r="G135" i="19"/>
  <c r="H135" i="19"/>
  <c r="E135" i="19"/>
  <c r="F135" i="19"/>
  <c r="D135" i="19"/>
  <c r="D47" i="19"/>
  <c r="E60" i="26"/>
  <c r="D60" i="26"/>
  <c r="E50" i="19"/>
  <c r="F50" i="19"/>
  <c r="G50" i="19"/>
  <c r="H50" i="19"/>
  <c r="G19" i="26" l="1"/>
  <c r="H19" i="26"/>
  <c r="H126" i="26" s="1"/>
  <c r="E39" i="26"/>
  <c r="E115" i="26" s="1"/>
  <c r="F39" i="26"/>
  <c r="F115" i="26" s="1"/>
  <c r="H39" i="26"/>
  <c r="D39" i="26"/>
  <c r="D136" i="26"/>
  <c r="E136" i="26"/>
  <c r="F136" i="26"/>
  <c r="G136" i="26"/>
  <c r="H136" i="26"/>
  <c r="D137" i="26"/>
  <c r="E137" i="26"/>
  <c r="F137" i="26"/>
  <c r="G137" i="26"/>
  <c r="H137" i="26"/>
  <c r="D138" i="26"/>
  <c r="E138" i="26"/>
  <c r="F138" i="26"/>
  <c r="G138" i="26"/>
  <c r="H138" i="26"/>
  <c r="D139" i="26"/>
  <c r="E139" i="26"/>
  <c r="F139" i="26"/>
  <c r="G139" i="26"/>
  <c r="H139" i="26"/>
  <c r="D140" i="26"/>
  <c r="E140" i="26"/>
  <c r="F140" i="26"/>
  <c r="G140" i="26"/>
  <c r="H140" i="26"/>
  <c r="D142" i="26"/>
  <c r="E142" i="26"/>
  <c r="F142" i="26"/>
  <c r="G142" i="26"/>
  <c r="H142" i="26"/>
  <c r="F144" i="26"/>
  <c r="G144" i="26"/>
  <c r="H144" i="26"/>
  <c r="D145" i="26"/>
  <c r="E145" i="26"/>
  <c r="F145" i="26"/>
  <c r="G145" i="26"/>
  <c r="H145" i="26"/>
  <c r="E6" i="22"/>
  <c r="E135" i="26" s="1"/>
  <c r="F6" i="22"/>
  <c r="F135" i="26" s="1"/>
  <c r="G6" i="22"/>
  <c r="G135" i="26" s="1"/>
  <c r="H6" i="22"/>
  <c r="H135" i="26" s="1"/>
  <c r="E15" i="22"/>
  <c r="E14" i="22" s="1"/>
  <c r="E143" i="26" s="1"/>
  <c r="F14" i="22"/>
  <c r="F143" i="26" s="1"/>
  <c r="G14" i="22"/>
  <c r="G143" i="26" s="1"/>
  <c r="H14" i="22"/>
  <c r="H143" i="26" s="1"/>
  <c r="E37" i="21"/>
  <c r="F37" i="21"/>
  <c r="G37" i="21"/>
  <c r="H37" i="21"/>
  <c r="D37" i="21"/>
  <c r="I145" i="26" l="1"/>
  <c r="E144" i="26"/>
  <c r="I138" i="26"/>
  <c r="I139" i="26"/>
  <c r="I142" i="26"/>
  <c r="I137" i="26"/>
  <c r="I140" i="26"/>
  <c r="I136" i="26"/>
  <c r="I39" i="26"/>
  <c r="I13" i="26"/>
  <c r="F19" i="26"/>
  <c r="D19" i="26"/>
  <c r="E19" i="26"/>
  <c r="D9" i="11"/>
  <c r="D95" i="26" s="1"/>
  <c r="D96" i="26" s="1"/>
  <c r="H9" i="11"/>
  <c r="G9" i="11"/>
  <c r="F9" i="11"/>
  <c r="F95" i="26" s="1"/>
  <c r="E9" i="11"/>
  <c r="E95" i="26" s="1"/>
  <c r="D115" i="26"/>
  <c r="H115" i="26"/>
  <c r="G115" i="26"/>
  <c r="E38" i="26"/>
  <c r="F38" i="26"/>
  <c r="G38" i="26"/>
  <c r="H38" i="26"/>
  <c r="D38" i="26"/>
  <c r="F6" i="25"/>
  <c r="E6" i="25"/>
  <c r="D6" i="25"/>
  <c r="C6" i="25"/>
  <c r="E91" i="29" l="1"/>
  <c r="E93" i="29" s="1"/>
  <c r="E99" i="29"/>
  <c r="E101" i="29" s="1"/>
  <c r="E32" i="29"/>
  <c r="E34" i="29" s="1"/>
  <c r="E35" i="29" s="1"/>
  <c r="E133" i="29"/>
  <c r="E135" i="29" s="1"/>
  <c r="E159" i="29"/>
  <c r="E161" i="29" s="1"/>
  <c r="E163" i="29" s="1"/>
  <c r="E164" i="29" s="1"/>
  <c r="E166" i="29" s="1"/>
  <c r="E174" i="29" s="1"/>
  <c r="D91" i="29"/>
  <c r="D93" i="29" s="1"/>
  <c r="E29" i="29"/>
  <c r="E31" i="29" s="1"/>
  <c r="E43" i="29" s="1"/>
  <c r="E45" i="29" s="1"/>
  <c r="E110" i="29"/>
  <c r="E112" i="29" s="1"/>
  <c r="E107" i="29"/>
  <c r="E109" i="29" s="1"/>
  <c r="E113" i="29" s="1"/>
  <c r="E86" i="29"/>
  <c r="E88" i="29" s="1"/>
  <c r="E89" i="29" s="1"/>
  <c r="E53" i="29"/>
  <c r="E55" i="29" s="1"/>
  <c r="E52" i="29"/>
  <c r="E49" i="29"/>
  <c r="E51" i="29" s="1"/>
  <c r="E56" i="29" s="1"/>
  <c r="I19" i="26"/>
  <c r="I115" i="26"/>
  <c r="E136" i="29"/>
  <c r="E137" i="29"/>
  <c r="E139" i="29" s="1"/>
  <c r="D159" i="29"/>
  <c r="D161" i="29" s="1"/>
  <c r="D163" i="29" s="1"/>
  <c r="D164" i="29" s="1"/>
  <c r="D166" i="29" s="1"/>
  <c r="D174" i="29" s="1"/>
  <c r="K174" i="29" s="1"/>
  <c r="D99" i="29"/>
  <c r="D101" i="29" s="1"/>
  <c r="H95" i="26"/>
  <c r="G95" i="26"/>
  <c r="D53" i="29"/>
  <c r="D55" i="29" s="1"/>
  <c r="D136" i="29"/>
  <c r="D133" i="29"/>
  <c r="D135" i="29" s="1"/>
  <c r="D137" i="29"/>
  <c r="D139" i="29" s="1"/>
  <c r="D52" i="29"/>
  <c r="D110" i="29"/>
  <c r="D112" i="29" s="1"/>
  <c r="D86" i="29"/>
  <c r="D107" i="29"/>
  <c r="D109" i="29" s="1"/>
  <c r="D49" i="29"/>
  <c r="D51" i="29" s="1"/>
  <c r="D29" i="29"/>
  <c r="D31" i="29" s="1"/>
  <c r="I38" i="26"/>
  <c r="D11" i="11"/>
  <c r="D12" i="11"/>
  <c r="D15" i="11"/>
  <c r="D58" i="11" s="1"/>
  <c r="D61" i="11" s="1"/>
  <c r="H114" i="26"/>
  <c r="F114" i="26"/>
  <c r="E114" i="26"/>
  <c r="G114" i="26"/>
  <c r="D114" i="26"/>
  <c r="D71" i="29"/>
  <c r="E140" i="29"/>
  <c r="D113" i="29"/>
  <c r="D140" i="29"/>
  <c r="D56" i="29"/>
  <c r="E58" i="29" l="1"/>
  <c r="E59" i="29"/>
  <c r="E57" i="29"/>
  <c r="E60" i="29"/>
  <c r="E61" i="29" s="1"/>
  <c r="E117" i="29"/>
  <c r="E115" i="29"/>
  <c r="E114" i="29"/>
  <c r="E118" i="29" s="1"/>
  <c r="E119" i="29" s="1"/>
  <c r="E116" i="29"/>
  <c r="E76" i="29"/>
  <c r="E62" i="29"/>
  <c r="E63" i="29" s="1"/>
  <c r="E64" i="29" s="1"/>
  <c r="I114" i="26"/>
  <c r="D88" i="29"/>
  <c r="D89" i="29" s="1"/>
  <c r="D103" i="29" s="1"/>
  <c r="D15" i="22"/>
  <c r="D144" i="26" s="1"/>
  <c r="I144" i="26" s="1"/>
  <c r="D6" i="22"/>
  <c r="D135" i="26" s="1"/>
  <c r="I135" i="26" s="1"/>
  <c r="E141" i="29"/>
  <c r="E144" i="29"/>
  <c r="E143" i="29"/>
  <c r="E142" i="29"/>
  <c r="D116" i="29"/>
  <c r="D114" i="29"/>
  <c r="D117" i="29"/>
  <c r="D144" i="29"/>
  <c r="D141" i="29"/>
  <c r="D143" i="29"/>
  <c r="D58" i="29"/>
  <c r="D59" i="29"/>
  <c r="D115" i="29"/>
  <c r="D57" i="29"/>
  <c r="D60" i="29"/>
  <c r="D142" i="29"/>
  <c r="E145" i="29" l="1"/>
  <c r="E147" i="29" s="1"/>
  <c r="E148" i="29" s="1"/>
  <c r="E150" i="29" s="1"/>
  <c r="E173" i="29" s="1"/>
  <c r="E176" i="29" s="1"/>
  <c r="E177" i="29" s="1"/>
  <c r="D75" i="29"/>
  <c r="D14" i="22"/>
  <c r="D143" i="26" s="1"/>
  <c r="I143" i="26" s="1"/>
  <c r="D145" i="29"/>
  <c r="D147" i="29" s="1"/>
  <c r="D148" i="29" s="1"/>
  <c r="D118" i="29"/>
  <c r="D119" i="29" s="1"/>
  <c r="D61" i="29"/>
  <c r="C7" i="26"/>
  <c r="B2" i="26"/>
  <c r="D150" i="29" l="1"/>
  <c r="D173" i="29" s="1"/>
  <c r="G11" i="19"/>
  <c r="G96" i="19" s="1"/>
  <c r="G98" i="19" s="1"/>
  <c r="H11" i="19"/>
  <c r="G27" i="19"/>
  <c r="G28" i="19" s="1"/>
  <c r="G130" i="19" s="1"/>
  <c r="H27" i="19"/>
  <c r="H28" i="19" s="1"/>
  <c r="C26" i="25"/>
  <c r="C24" i="25"/>
  <c r="D28" i="29" s="1"/>
  <c r="E22" i="11"/>
  <c r="F22" i="11"/>
  <c r="G22" i="11"/>
  <c r="G23" i="11" s="1"/>
  <c r="G24" i="11" s="1"/>
  <c r="H22" i="11"/>
  <c r="H23" i="11" s="1"/>
  <c r="H24" i="11" s="1"/>
  <c r="D22" i="11"/>
  <c r="E19" i="11"/>
  <c r="E20" i="11" s="1"/>
  <c r="F19" i="11"/>
  <c r="F20" i="11" s="1"/>
  <c r="G19" i="11"/>
  <c r="H19" i="11"/>
  <c r="D19" i="11"/>
  <c r="D20" i="11" s="1"/>
  <c r="D18" i="11"/>
  <c r="D37" i="11" s="1"/>
  <c r="H35" i="19" l="1"/>
  <c r="H96" i="19"/>
  <c r="H98" i="19" s="1"/>
  <c r="H190" i="19" s="1"/>
  <c r="D32" i="29"/>
  <c r="D34" i="29" s="1"/>
  <c r="D35" i="29" s="1"/>
  <c r="H141" i="19"/>
  <c r="H138" i="19"/>
  <c r="H142" i="19"/>
  <c r="H144" i="19" s="1"/>
  <c r="E23" i="11"/>
  <c r="E24" i="11" s="1"/>
  <c r="G20" i="11"/>
  <c r="G141" i="19"/>
  <c r="G142" i="19"/>
  <c r="G144" i="19" s="1"/>
  <c r="G138" i="19"/>
  <c r="G140" i="19" s="1"/>
  <c r="D23" i="11"/>
  <c r="D27" i="11" s="1"/>
  <c r="D28" i="11" s="1"/>
  <c r="D68" i="11" s="1"/>
  <c r="F23" i="11"/>
  <c r="F24" i="11" s="1"/>
  <c r="H20" i="11"/>
  <c r="H104" i="19"/>
  <c r="H106" i="19" s="1"/>
  <c r="H73" i="26" s="1"/>
  <c r="G104" i="19"/>
  <c r="G106" i="19" s="1"/>
  <c r="G73" i="26" s="1"/>
  <c r="K173" i="29"/>
  <c r="G29" i="19"/>
  <c r="G35" i="19" s="1"/>
  <c r="G37" i="19" s="1"/>
  <c r="G59" i="26" s="1"/>
  <c r="H29" i="19"/>
  <c r="D64" i="11"/>
  <c r="D40" i="11"/>
  <c r="D69" i="11" s="1"/>
  <c r="F21" i="11"/>
  <c r="D21" i="11"/>
  <c r="E21" i="11"/>
  <c r="H115" i="19"/>
  <c r="H117" i="19" s="1"/>
  <c r="G115" i="19"/>
  <c r="G117" i="19" s="1"/>
  <c r="H60" i="19"/>
  <c r="H62" i="19" s="1"/>
  <c r="G60" i="19"/>
  <c r="G62" i="19" s="1"/>
  <c r="H31" i="19"/>
  <c r="H33" i="19" s="1"/>
  <c r="G31" i="19"/>
  <c r="G33" i="19" s="1"/>
  <c r="H164" i="19"/>
  <c r="H166" i="19" s="1"/>
  <c r="G164" i="19"/>
  <c r="G166" i="19" s="1"/>
  <c r="H91" i="19"/>
  <c r="H112" i="19"/>
  <c r="G91" i="19"/>
  <c r="G112" i="19"/>
  <c r="H56" i="19"/>
  <c r="H58" i="19" s="1"/>
  <c r="H63" i="19" s="1"/>
  <c r="H59" i="19"/>
  <c r="G59" i="19"/>
  <c r="G56" i="19"/>
  <c r="G58" i="19" s="1"/>
  <c r="H37" i="19"/>
  <c r="H59" i="26" s="1"/>
  <c r="E11" i="19"/>
  <c r="E96" i="19" s="1"/>
  <c r="E98" i="19" s="1"/>
  <c r="F11" i="19"/>
  <c r="F96" i="19" s="1"/>
  <c r="F98" i="19" s="1"/>
  <c r="D11" i="19"/>
  <c r="D96" i="19" s="1"/>
  <c r="D98" i="19" s="1"/>
  <c r="D37" i="29"/>
  <c r="D42" i="29"/>
  <c r="D36" i="29"/>
  <c r="G63" i="19"/>
  <c r="G145" i="19"/>
  <c r="H140" i="19" l="1"/>
  <c r="H145" i="19" s="1"/>
  <c r="D71" i="11"/>
  <c r="D43" i="29"/>
  <c r="D45" i="29" s="1"/>
  <c r="D104" i="19"/>
  <c r="D106" i="19" s="1"/>
  <c r="D73" i="26" s="1"/>
  <c r="G91" i="26"/>
  <c r="G167" i="19"/>
  <c r="G168" i="19" s="1"/>
  <c r="E63" i="11"/>
  <c r="D24" i="11"/>
  <c r="D63" i="11" s="1"/>
  <c r="G21" i="11"/>
  <c r="G63" i="11" s="1"/>
  <c r="F104" i="19"/>
  <c r="F106" i="19" s="1"/>
  <c r="F73" i="26" s="1"/>
  <c r="F138" i="19"/>
  <c r="F140" i="19" s="1"/>
  <c r="F141" i="19"/>
  <c r="F142" i="19"/>
  <c r="F144" i="19" s="1"/>
  <c r="H91" i="26"/>
  <c r="H167" i="19"/>
  <c r="H168" i="19" s="1"/>
  <c r="G85" i="26"/>
  <c r="H85" i="26"/>
  <c r="F63" i="11"/>
  <c r="H21" i="11"/>
  <c r="H63" i="11" s="1"/>
  <c r="H57" i="26"/>
  <c r="H46" i="19"/>
  <c r="H48" i="19" s="1"/>
  <c r="H62" i="26" s="1"/>
  <c r="H64" i="26"/>
  <c r="H38" i="19"/>
  <c r="G57" i="26"/>
  <c r="G46" i="19"/>
  <c r="G64" i="26"/>
  <c r="G38" i="19"/>
  <c r="E104" i="19"/>
  <c r="E106" i="19" s="1"/>
  <c r="E73" i="26" s="1"/>
  <c r="E141" i="19"/>
  <c r="E142" i="19"/>
  <c r="E144" i="19" s="1"/>
  <c r="E138" i="19"/>
  <c r="E140" i="19" s="1"/>
  <c r="H93" i="19"/>
  <c r="H94" i="19" s="1"/>
  <c r="H108" i="19" s="1"/>
  <c r="G93" i="19"/>
  <c r="G94" i="19" s="1"/>
  <c r="G108" i="19" s="1"/>
  <c r="D138" i="19"/>
  <c r="D140" i="19" s="1"/>
  <c r="D142" i="19"/>
  <c r="D144" i="19" s="1"/>
  <c r="D141" i="19"/>
  <c r="H58" i="26"/>
  <c r="G58" i="26"/>
  <c r="D115" i="19"/>
  <c r="D117" i="19" s="1"/>
  <c r="F60" i="19"/>
  <c r="F62" i="19" s="1"/>
  <c r="F115" i="19"/>
  <c r="F117" i="19" s="1"/>
  <c r="E60" i="19"/>
  <c r="E62" i="19" s="1"/>
  <c r="E115" i="19"/>
  <c r="E117" i="19" s="1"/>
  <c r="G114" i="19"/>
  <c r="H114" i="19"/>
  <c r="F31" i="19"/>
  <c r="F33" i="19" s="1"/>
  <c r="E164" i="19"/>
  <c r="E31" i="19"/>
  <c r="E33" i="19" s="1"/>
  <c r="D31" i="19"/>
  <c r="D33" i="19" s="1"/>
  <c r="F164" i="19"/>
  <c r="D164" i="19"/>
  <c r="F91" i="19"/>
  <c r="F112" i="19"/>
  <c r="D91" i="19"/>
  <c r="D112" i="19"/>
  <c r="E91" i="19"/>
  <c r="E112" i="19"/>
  <c r="F56" i="19"/>
  <c r="F58" i="19" s="1"/>
  <c r="F59" i="19"/>
  <c r="D60" i="19"/>
  <c r="D62" i="19" s="1"/>
  <c r="D56" i="19"/>
  <c r="D58" i="19" s="1"/>
  <c r="D59" i="19"/>
  <c r="E56" i="19"/>
  <c r="E58" i="19" s="1"/>
  <c r="E59" i="19"/>
  <c r="H146" i="19"/>
  <c r="H147" i="19"/>
  <c r="H40" i="19"/>
  <c r="H65" i="19"/>
  <c r="H149" i="19"/>
  <c r="H66" i="19"/>
  <c r="H44" i="19"/>
  <c r="H67" i="19"/>
  <c r="H64" i="19"/>
  <c r="H39" i="19"/>
  <c r="H148" i="19"/>
  <c r="G149" i="19"/>
  <c r="D145" i="19"/>
  <c r="G44" i="19"/>
  <c r="G67" i="19"/>
  <c r="F63" i="19"/>
  <c r="E63" i="19"/>
  <c r="G66" i="19"/>
  <c r="G146" i="19"/>
  <c r="G40" i="19"/>
  <c r="G65" i="19"/>
  <c r="D63" i="19"/>
  <c r="G39" i="19"/>
  <c r="G148" i="19"/>
  <c r="F145" i="19"/>
  <c r="G64" i="19"/>
  <c r="G147" i="19"/>
  <c r="E145" i="19"/>
  <c r="D66" i="11" l="1"/>
  <c r="D20" i="26" s="1"/>
  <c r="D127" i="26" s="1"/>
  <c r="G48" i="19"/>
  <c r="G62" i="26" s="1"/>
  <c r="G51" i="19"/>
  <c r="G52" i="19" s="1"/>
  <c r="G150" i="19"/>
  <c r="G152" i="19" s="1"/>
  <c r="G153" i="19" s="1"/>
  <c r="H150" i="19"/>
  <c r="H152" i="19" s="1"/>
  <c r="H153" i="19" s="1"/>
  <c r="G61" i="26"/>
  <c r="H61" i="26"/>
  <c r="H170" i="19"/>
  <c r="H191" i="19" s="1"/>
  <c r="H92" i="26"/>
  <c r="G170" i="19"/>
  <c r="G191" i="19" s="1"/>
  <c r="G92" i="26"/>
  <c r="F85" i="26"/>
  <c r="H68" i="19"/>
  <c r="H52" i="19"/>
  <c r="H49" i="19"/>
  <c r="G68" i="19"/>
  <c r="E85" i="26"/>
  <c r="D85" i="26"/>
  <c r="D93" i="19"/>
  <c r="D94" i="19" s="1"/>
  <c r="D108" i="19" s="1"/>
  <c r="F93" i="19"/>
  <c r="F94" i="19" s="1"/>
  <c r="F108" i="19" s="1"/>
  <c r="F190" i="19" s="1"/>
  <c r="D64" i="26"/>
  <c r="E64" i="26"/>
  <c r="F64" i="26"/>
  <c r="E93" i="19"/>
  <c r="E94" i="19" s="1"/>
  <c r="E108" i="19" s="1"/>
  <c r="F166" i="19"/>
  <c r="F91" i="26" s="1"/>
  <c r="E166" i="19"/>
  <c r="E91" i="26" s="1"/>
  <c r="D166" i="19"/>
  <c r="D91" i="26" s="1"/>
  <c r="E114" i="19"/>
  <c r="E118" i="19" s="1"/>
  <c r="F114" i="19"/>
  <c r="D114" i="19"/>
  <c r="D118" i="19" s="1"/>
  <c r="F27" i="19"/>
  <c r="F28" i="19" s="1"/>
  <c r="F130" i="19" s="1"/>
  <c r="E27" i="19"/>
  <c r="E28" i="19" s="1"/>
  <c r="D27" i="19"/>
  <c r="D28" i="19" s="1"/>
  <c r="D130" i="19" s="1"/>
  <c r="E18" i="11"/>
  <c r="E37" i="11" s="1"/>
  <c r="F18" i="11"/>
  <c r="F37" i="11" s="1"/>
  <c r="G18" i="11"/>
  <c r="G37" i="11" s="1"/>
  <c r="H18" i="11"/>
  <c r="H37" i="11" s="1"/>
  <c r="G10" i="11"/>
  <c r="H10" i="11"/>
  <c r="F10" i="11"/>
  <c r="E10" i="11"/>
  <c r="D10" i="11"/>
  <c r="H118" i="19"/>
  <c r="E149" i="19"/>
  <c r="G118" i="19"/>
  <c r="F147" i="19"/>
  <c r="D67" i="19"/>
  <c r="F149" i="19"/>
  <c r="D66" i="19"/>
  <c r="D65" i="19"/>
  <c r="F67" i="19"/>
  <c r="F118" i="19"/>
  <c r="D146" i="19"/>
  <c r="D64" i="19"/>
  <c r="D147" i="19"/>
  <c r="F65" i="19"/>
  <c r="E147" i="19"/>
  <c r="F66" i="19"/>
  <c r="E148" i="19"/>
  <c r="F148" i="19"/>
  <c r="D148" i="19"/>
  <c r="D149" i="19"/>
  <c r="F146" i="19"/>
  <c r="E146" i="19"/>
  <c r="F64" i="19"/>
  <c r="E51" i="19" l="1"/>
  <c r="E130" i="19"/>
  <c r="G82" i="19"/>
  <c r="G68" i="26" s="1"/>
  <c r="H82" i="19"/>
  <c r="H68" i="26" s="1"/>
  <c r="G49" i="19"/>
  <c r="G53" i="19" s="1"/>
  <c r="G69" i="19"/>
  <c r="G65" i="26" s="1"/>
  <c r="F150" i="19"/>
  <c r="F152" i="19" s="1"/>
  <c r="F153" i="19" s="1"/>
  <c r="G40" i="11"/>
  <c r="G69" i="11" s="1"/>
  <c r="G64" i="11"/>
  <c r="G209" i="19"/>
  <c r="G32" i="26"/>
  <c r="G123" i="26" s="1"/>
  <c r="H11" i="11"/>
  <c r="H96" i="26" s="1"/>
  <c r="H12" i="11"/>
  <c r="G12" i="11"/>
  <c r="G11" i="11"/>
  <c r="G96" i="26" s="1"/>
  <c r="H69" i="19"/>
  <c r="H65" i="26" s="1"/>
  <c r="H40" i="11"/>
  <c r="H69" i="11" s="1"/>
  <c r="H64" i="11"/>
  <c r="H20" i="26" s="1"/>
  <c r="H127" i="26" s="1"/>
  <c r="H209" i="19"/>
  <c r="H32" i="26"/>
  <c r="H53" i="19"/>
  <c r="H85" i="19" s="1"/>
  <c r="E150" i="19"/>
  <c r="E152" i="19" s="1"/>
  <c r="E153" i="19" s="1"/>
  <c r="F29" i="19"/>
  <c r="F35" i="19" s="1"/>
  <c r="F37" i="19" s="1"/>
  <c r="E29" i="19"/>
  <c r="E35" i="19" s="1"/>
  <c r="E37" i="19" s="1"/>
  <c r="D29" i="19"/>
  <c r="D35" i="19" s="1"/>
  <c r="D37" i="19" s="1"/>
  <c r="D150" i="19"/>
  <c r="D152" i="19" s="1"/>
  <c r="D153" i="19" s="1"/>
  <c r="E76" i="26"/>
  <c r="D76" i="26"/>
  <c r="F76" i="26"/>
  <c r="G76" i="26"/>
  <c r="H76" i="26"/>
  <c r="F64" i="11"/>
  <c r="F40" i="11"/>
  <c r="F69" i="11" s="1"/>
  <c r="E64" i="11"/>
  <c r="E40" i="11"/>
  <c r="E69" i="11" s="1"/>
  <c r="F11" i="11"/>
  <c r="F96" i="26" s="1"/>
  <c r="F12" i="11"/>
  <c r="F27" i="11" s="1"/>
  <c r="E11" i="11"/>
  <c r="E96" i="26" s="1"/>
  <c r="E12" i="11"/>
  <c r="E27" i="11" s="1"/>
  <c r="F68" i="19"/>
  <c r="D68" i="19"/>
  <c r="E167" i="19"/>
  <c r="D167" i="19"/>
  <c r="F167" i="19"/>
  <c r="F168" i="19" s="1"/>
  <c r="C7" i="11"/>
  <c r="H122" i="19"/>
  <c r="H119" i="19"/>
  <c r="H121" i="19"/>
  <c r="H120" i="19"/>
  <c r="G119" i="19"/>
  <c r="D122" i="19"/>
  <c r="G121" i="19"/>
  <c r="G120" i="19"/>
  <c r="G122" i="19"/>
  <c r="D119" i="19"/>
  <c r="F122" i="19"/>
  <c r="D121" i="19"/>
  <c r="F120" i="19"/>
  <c r="D120" i="19"/>
  <c r="F121" i="19"/>
  <c r="F119" i="19"/>
  <c r="E66" i="11" l="1"/>
  <c r="E20" i="26" s="1"/>
  <c r="F66" i="11"/>
  <c r="F20" i="26" s="1"/>
  <c r="G66" i="11"/>
  <c r="G20" i="26" s="1"/>
  <c r="F38" i="19"/>
  <c r="F59" i="26"/>
  <c r="E38" i="19"/>
  <c r="E59" i="26"/>
  <c r="D38" i="19"/>
  <c r="D59" i="26"/>
  <c r="G70" i="19"/>
  <c r="H70" i="19"/>
  <c r="G15" i="11"/>
  <c r="G58" i="11" s="1"/>
  <c r="G27" i="11"/>
  <c r="G28" i="11" s="1"/>
  <c r="G68" i="11" s="1"/>
  <c r="G71" i="11" s="1"/>
  <c r="H15" i="11"/>
  <c r="H58" i="11" s="1"/>
  <c r="H36" i="26" s="1"/>
  <c r="H27" i="11"/>
  <c r="H28" i="11" s="1"/>
  <c r="H68" i="11" s="1"/>
  <c r="H189" i="19"/>
  <c r="H207" i="19" s="1"/>
  <c r="H123" i="19"/>
  <c r="H124" i="19" s="1"/>
  <c r="G123" i="19"/>
  <c r="G124" i="19" s="1"/>
  <c r="F170" i="19"/>
  <c r="F191" i="19" s="1"/>
  <c r="F209" i="19" s="1"/>
  <c r="F92" i="26"/>
  <c r="D57" i="26"/>
  <c r="E57" i="26"/>
  <c r="F57" i="26"/>
  <c r="E28" i="11"/>
  <c r="E68" i="11" s="1"/>
  <c r="E71" i="11" s="1"/>
  <c r="E15" i="11"/>
  <c r="E58" i="11" s="1"/>
  <c r="E61" i="11" s="1"/>
  <c r="F28" i="11"/>
  <c r="F68" i="11" s="1"/>
  <c r="F71" i="11" s="1"/>
  <c r="F15" i="11"/>
  <c r="F58" i="11" s="1"/>
  <c r="F61" i="11" s="1"/>
  <c r="D58" i="26"/>
  <c r="E58" i="26"/>
  <c r="F58" i="26"/>
  <c r="D168" i="19"/>
  <c r="E168" i="19"/>
  <c r="D123" i="19"/>
  <c r="F123" i="19"/>
  <c r="H113" i="26"/>
  <c r="G113" i="26"/>
  <c r="E113" i="26"/>
  <c r="F113" i="26"/>
  <c r="E44" i="19"/>
  <c r="D40" i="19"/>
  <c r="E40" i="19"/>
  <c r="F40" i="19"/>
  <c r="E39" i="19"/>
  <c r="D44" i="19"/>
  <c r="F44" i="19"/>
  <c r="F39" i="19"/>
  <c r="D39" i="19"/>
  <c r="G24" i="26" l="1"/>
  <c r="G25" i="26" s="1"/>
  <c r="G61" i="11"/>
  <c r="G36" i="26" s="1"/>
  <c r="G127" i="26" s="1"/>
  <c r="E46" i="19"/>
  <c r="D46" i="19"/>
  <c r="D61" i="26" s="1"/>
  <c r="F46" i="19"/>
  <c r="G85" i="19"/>
  <c r="G189" i="19" s="1"/>
  <c r="H30" i="26"/>
  <c r="H155" i="19"/>
  <c r="H208" i="19" s="1"/>
  <c r="H77" i="26"/>
  <c r="G77" i="26"/>
  <c r="G155" i="19"/>
  <c r="F32" i="26"/>
  <c r="F123" i="26" s="1"/>
  <c r="E170" i="19"/>
  <c r="E191" i="19" s="1"/>
  <c r="E209" i="19" s="1"/>
  <c r="E92" i="26"/>
  <c r="F124" i="19"/>
  <c r="F77" i="26"/>
  <c r="F61" i="26"/>
  <c r="D124" i="19"/>
  <c r="D77" i="26"/>
  <c r="D170" i="19"/>
  <c r="D191" i="19" s="1"/>
  <c r="D92" i="26"/>
  <c r="F36" i="26"/>
  <c r="F127" i="26" s="1"/>
  <c r="E36" i="26"/>
  <c r="E127" i="26" s="1"/>
  <c r="E24" i="26"/>
  <c r="F24" i="26"/>
  <c r="D113" i="26"/>
  <c r="H24" i="26"/>
  <c r="H25" i="26" l="1"/>
  <c r="H132" i="26" s="1"/>
  <c r="H131" i="26"/>
  <c r="F48" i="19"/>
  <c r="F62" i="26" s="1"/>
  <c r="F51" i="19"/>
  <c r="F52" i="19" s="1"/>
  <c r="D48" i="19"/>
  <c r="D62" i="26" s="1"/>
  <c r="D51" i="19"/>
  <c r="G190" i="19"/>
  <c r="G208" i="19" s="1"/>
  <c r="E61" i="26"/>
  <c r="E48" i="19"/>
  <c r="E62" i="26" s="1"/>
  <c r="G207" i="19"/>
  <c r="G30" i="26"/>
  <c r="G121" i="26" s="1"/>
  <c r="K191" i="19"/>
  <c r="D209" i="19"/>
  <c r="E32" i="26"/>
  <c r="E123" i="26" s="1"/>
  <c r="H31" i="26"/>
  <c r="D155" i="19"/>
  <c r="D190" i="19" s="1"/>
  <c r="D208" i="19" s="1"/>
  <c r="F155" i="19"/>
  <c r="F208" i="19" s="1"/>
  <c r="D32" i="26"/>
  <c r="D123" i="26" s="1"/>
  <c r="D24" i="26"/>
  <c r="I24" i="26" s="1"/>
  <c r="I20" i="26"/>
  <c r="E112" i="26"/>
  <c r="F112" i="26"/>
  <c r="E25" i="26"/>
  <c r="G112" i="26"/>
  <c r="F25" i="26"/>
  <c r="H112" i="26"/>
  <c r="C12" i="19"/>
  <c r="G31" i="26" l="1"/>
  <c r="I25" i="26"/>
  <c r="I32" i="26"/>
  <c r="I123" i="26" s="1"/>
  <c r="D31" i="26"/>
  <c r="D122" i="26" s="1"/>
  <c r="F31" i="26"/>
  <c r="F122" i="26" s="1"/>
  <c r="D25" i="26"/>
  <c r="G122" i="26" l="1"/>
  <c r="I108" i="26"/>
  <c r="E183" i="19"/>
  <c r="E192" i="19" s="1"/>
  <c r="E210" i="19" s="1"/>
  <c r="F183" i="19"/>
  <c r="F192" i="19" s="1"/>
  <c r="F210" i="19" s="1"/>
  <c r="G183" i="19"/>
  <c r="G192" i="19" s="1"/>
  <c r="G210" i="19" s="1"/>
  <c r="H183" i="19"/>
  <c r="H192" i="19" s="1"/>
  <c r="H210" i="19" s="1"/>
  <c r="D183" i="19"/>
  <c r="D192" i="19" s="1"/>
  <c r="D210" i="19" s="1"/>
  <c r="K192" i="19" l="1"/>
  <c r="H194" i="19"/>
  <c r="G194" i="19"/>
  <c r="D33" i="26"/>
  <c r="E33" i="26"/>
  <c r="H33" i="26"/>
  <c r="H29" i="26" s="1"/>
  <c r="G33" i="26"/>
  <c r="G29" i="26" s="1"/>
  <c r="G120" i="26" s="1"/>
  <c r="F33" i="26"/>
  <c r="D50" i="19"/>
  <c r="D108" i="26"/>
  <c r="B2" i="22"/>
  <c r="B2" i="19"/>
  <c r="B2" i="10"/>
  <c r="B2" i="11"/>
  <c r="B2" i="21"/>
  <c r="H212" i="19" l="1"/>
  <c r="H195" i="19"/>
  <c r="H213" i="19" s="1"/>
  <c r="G212" i="19"/>
  <c r="G195" i="19"/>
  <c r="G213" i="19" s="1"/>
  <c r="I33" i="26"/>
  <c r="F109" i="26"/>
  <c r="E109" i="26"/>
  <c r="D109" i="26"/>
  <c r="G109" i="26"/>
  <c r="I109" i="26" l="1"/>
  <c r="H109" i="26"/>
  <c r="H108" i="26"/>
  <c r="D107" i="26"/>
  <c r="F108" i="26" l="1"/>
  <c r="E108" i="26"/>
  <c r="G108" i="26"/>
  <c r="E122" i="19"/>
  <c r="E65" i="19"/>
  <c r="E120" i="19"/>
  <c r="E64" i="19"/>
  <c r="E66" i="19"/>
  <c r="E121" i="19"/>
  <c r="E119" i="19"/>
  <c r="E67" i="19"/>
  <c r="E68" i="19" l="1"/>
  <c r="E123" i="19"/>
  <c r="E124" i="19" l="1"/>
  <c r="E77" i="26"/>
  <c r="F82" i="19"/>
  <c r="F68" i="26" s="1"/>
  <c r="E155" i="19" l="1"/>
  <c r="F69" i="19"/>
  <c r="F65" i="26" s="1"/>
  <c r="F49" i="19"/>
  <c r="F53" i="19" s="1"/>
  <c r="E52" i="19"/>
  <c r="E190" i="19" l="1"/>
  <c r="E208" i="19" s="1"/>
  <c r="F70" i="19"/>
  <c r="F85" i="19" s="1"/>
  <c r="D82" i="19"/>
  <c r="D68" i="26" s="1"/>
  <c r="K190" i="19" l="1"/>
  <c r="E31" i="26"/>
  <c r="I31" i="26" s="1"/>
  <c r="I122" i="26" s="1"/>
  <c r="D83" i="19"/>
  <c r="D69" i="19"/>
  <c r="D65" i="26" s="1"/>
  <c r="F189" i="19"/>
  <c r="F207" i="19" s="1"/>
  <c r="H106" i="26"/>
  <c r="G106" i="26"/>
  <c r="E82" i="19"/>
  <c r="E68" i="26" s="1"/>
  <c r="E122" i="26" l="1"/>
  <c r="I107" i="26"/>
  <c r="E83" i="19"/>
  <c r="F30" i="26"/>
  <c r="F194" i="19"/>
  <c r="F212" i="19" s="1"/>
  <c r="E69" i="19"/>
  <c r="E65" i="26" s="1"/>
  <c r="D70" i="19"/>
  <c r="E49" i="19"/>
  <c r="E53" i="19" s="1"/>
  <c r="G35" i="26"/>
  <c r="G126" i="26" s="1"/>
  <c r="F29" i="26" l="1"/>
  <c r="F120" i="26" s="1"/>
  <c r="F121" i="26"/>
  <c r="H40" i="26"/>
  <c r="H41" i="26" s="1"/>
  <c r="H35" i="26"/>
  <c r="G111" i="26"/>
  <c r="F195" i="19"/>
  <c r="F213" i="19" s="1"/>
  <c r="E70" i="19"/>
  <c r="E85" i="19" s="1"/>
  <c r="G105" i="26"/>
  <c r="G40" i="26"/>
  <c r="H105" i="26"/>
  <c r="F107" i="26"/>
  <c r="H107" i="26"/>
  <c r="E107" i="26"/>
  <c r="G107" i="26"/>
  <c r="G41" i="26" l="1"/>
  <c r="G132" i="26" s="1"/>
  <c r="G131" i="26"/>
  <c r="E189" i="19"/>
  <c r="H116" i="26"/>
  <c r="H111" i="26"/>
  <c r="H117" i="26"/>
  <c r="G116" i="26"/>
  <c r="F106" i="26"/>
  <c r="G117" i="26" l="1"/>
  <c r="E207" i="19"/>
  <c r="E194" i="19"/>
  <c r="E212" i="19" s="1"/>
  <c r="E30" i="26"/>
  <c r="E121" i="26" s="1"/>
  <c r="F35" i="26"/>
  <c r="F40" i="26"/>
  <c r="F105" i="26"/>
  <c r="F111" i="26" l="1"/>
  <c r="F126" i="26"/>
  <c r="F41" i="26"/>
  <c r="F132" i="26" s="1"/>
  <c r="F131" i="26"/>
  <c r="E106" i="26"/>
  <c r="E29" i="26"/>
  <c r="E195" i="19"/>
  <c r="E213" i="19" s="1"/>
  <c r="F116" i="26"/>
  <c r="F117" i="26" l="1"/>
  <c r="E40" i="26"/>
  <c r="E131" i="26" s="1"/>
  <c r="E120" i="26"/>
  <c r="E35" i="26"/>
  <c r="E105" i="26"/>
  <c r="E116" i="26" l="1"/>
  <c r="E41" i="26"/>
  <c r="E132" i="26" s="1"/>
  <c r="E111" i="26"/>
  <c r="E126" i="26"/>
  <c r="E117" i="26" l="1"/>
  <c r="D52" i="19"/>
  <c r="D49" i="19"/>
  <c r="D53" i="19" l="1"/>
  <c r="D85" i="19" s="1"/>
  <c r="D189" i="19" l="1"/>
  <c r="D207" i="19" s="1"/>
  <c r="K189" i="19" l="1"/>
  <c r="D194" i="19"/>
  <c r="D30" i="26"/>
  <c r="D29" i="26" l="1"/>
  <c r="D120" i="26" s="1"/>
  <c r="D121" i="26"/>
  <c r="I30" i="26"/>
  <c r="I121" i="26" s="1"/>
  <c r="K194" i="19"/>
  <c r="K195" i="19" s="1"/>
  <c r="D212" i="19"/>
  <c r="D195" i="19"/>
  <c r="D213" i="19" s="1"/>
  <c r="D106" i="26"/>
  <c r="I29" i="26" l="1"/>
  <c r="I120" i="26" s="1"/>
  <c r="I106" i="26"/>
  <c r="D35" i="26"/>
  <c r="D126" i="26" s="1"/>
  <c r="D105" i="26"/>
  <c r="I105" i="26" l="1"/>
  <c r="I35" i="26"/>
  <c r="I111" i="26" s="1"/>
  <c r="D111" i="26"/>
  <c r="I126" i="26" l="1"/>
  <c r="D76" i="29"/>
  <c r="D77" i="29" s="1"/>
  <c r="D62" i="29" l="1"/>
  <c r="D63" i="29" s="1"/>
  <c r="D46" i="29"/>
  <c r="D64" i="29" l="1"/>
  <c r="D79" i="29" s="1"/>
  <c r="D172" i="29" l="1"/>
  <c r="D176" i="29" s="1"/>
  <c r="D177" i="29" l="1"/>
  <c r="K176" i="29"/>
  <c r="K177" i="29" s="1"/>
  <c r="K172" i="29"/>
  <c r="D36" i="26" l="1"/>
  <c r="I36" i="26" s="1"/>
  <c r="I127" i="26" s="1"/>
  <c r="D112" i="26" l="1"/>
  <c r="I112" i="26"/>
  <c r="D40" i="26"/>
  <c r="D131" i="26" s="1"/>
  <c r="I40" i="26" l="1"/>
  <c r="I131" i="26" s="1"/>
  <c r="D116" i="26"/>
  <c r="D41" i="26"/>
  <c r="D132" i="26" s="1"/>
  <c r="D117" i="26" l="1"/>
  <c r="I116" i="26"/>
  <c r="I41" i="26"/>
  <c r="I132" i="26" s="1"/>
  <c r="I117"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author>
  </authors>
  <commentList>
    <comment ref="C7" authorId="0" shapeId="0" xr:uid="{950AD3E5-18F8-40AE-B329-819E933EC3F8}">
      <text>
        <r>
          <rPr>
            <b/>
            <sz val="9"/>
            <color indexed="81"/>
            <rFont val="Tahoma"/>
            <family val="2"/>
          </rPr>
          <t>Select the currency for the RFP</t>
        </r>
      </text>
    </comment>
    <comment ref="C8" authorId="0" shapeId="0" xr:uid="{F9CC4943-F95C-48FB-BD5B-5BDF52D5DD9A}">
      <text>
        <r>
          <rPr>
            <b/>
            <sz val="9"/>
            <color indexed="81"/>
            <rFont val="Tahoma"/>
            <family val="2"/>
          </rPr>
          <t>Select whether the customer has AHUB rights. If the customer has AHUB rights, they can get Linux rate when buying VMs for Storage.  (Linux rates will apply to Compute, regardless of AHUB rights)</t>
        </r>
      </text>
    </comment>
    <comment ref="C13" authorId="0" shapeId="0" xr:uid="{DD4AED26-7330-4684-8958-A7C8EC779EEE}">
      <text>
        <r>
          <rPr>
            <b/>
            <sz val="9"/>
            <color indexed="81"/>
            <rFont val="Tahoma"/>
            <family val="2"/>
          </rPr>
          <t>Select the target OS for the deployment (end state)</t>
        </r>
      </text>
    </comment>
    <comment ref="C16" authorId="0" shapeId="0" xr:uid="{AC8AAFE6-E4C1-477A-A04F-CFD51A0B25C1}">
      <text>
        <r>
          <rPr>
            <b/>
            <sz val="9"/>
            <color indexed="81"/>
            <rFont val="Tahoma"/>
            <family val="2"/>
          </rPr>
          <t>Refer to [Default Values (MSFT Guidance)] tab for User Type definition</t>
        </r>
        <r>
          <rPr>
            <sz val="9"/>
            <color indexed="81"/>
            <rFont val="Tahoma"/>
            <family val="2"/>
          </rPr>
          <t xml:space="preserve">
</t>
        </r>
      </text>
    </comment>
    <comment ref="C18" authorId="0" shapeId="0" xr:uid="{4E7AEF7C-3FEB-4BD8-B244-A90E6597BA99}">
      <text>
        <r>
          <rPr>
            <b/>
            <sz val="9"/>
            <color indexed="81"/>
            <rFont val="Tahoma"/>
            <family val="2"/>
          </rPr>
          <t>Percentage of users that are logged in at the same time during peak hours</t>
        </r>
        <r>
          <rPr>
            <sz val="9"/>
            <color indexed="81"/>
            <rFont val="Tahoma"/>
            <family val="2"/>
          </rPr>
          <t xml:space="preserve">
</t>
        </r>
      </text>
    </comment>
    <comment ref="C19" authorId="0" shapeId="0" xr:uid="{B211BC7D-8F6A-4854-A959-E08F421799F8}">
      <text>
        <r>
          <rPr>
            <b/>
            <sz val="11"/>
            <color theme="1"/>
            <rFont val="Calibri"/>
            <family val="2"/>
            <scheme val="minor"/>
          </rPr>
          <t>This criteria determines whether users require personal desktop. 
Note: this criteria doesn't apply to Windows 10 multi-session; select Windows 10 if the users need personal desktop</t>
        </r>
      </text>
    </comment>
    <comment ref="C20" authorId="0" shapeId="0" xr:uid="{5844772A-591B-48E7-9B5B-9725BE3D60D9}">
      <text>
        <r>
          <rPr>
            <b/>
            <sz val="9"/>
            <color indexed="81"/>
            <rFont val="Tahoma"/>
            <family val="2"/>
          </rPr>
          <t>note: Azure Region (for infrastructure) is different from WVD Service Region; if customers do not put them in the same region, they have to deal with costs of data transfer, networking, etc. between regions</t>
        </r>
        <r>
          <rPr>
            <sz val="9"/>
            <color indexed="81"/>
            <rFont val="Tahoma"/>
            <family val="2"/>
          </rPr>
          <t xml:space="preserve">
</t>
        </r>
      </text>
    </comment>
    <comment ref="K25" authorId="0" shapeId="0" xr:uid="{1A6A557A-9BE6-495A-A900-173793B1AFE4}">
      <text>
        <r>
          <rPr>
            <b/>
            <sz val="9"/>
            <color indexed="81"/>
            <rFont val="Tahoma"/>
            <family val="2"/>
          </rPr>
          <t>Cheaper to choose 3-year RI if beyond this threshold, otherwise pay-as-you-go
note: this threshold is a general guidance, not always get the cheapest option; user should compare different options when customer's work hours is close to this threshold</t>
        </r>
      </text>
    </comment>
    <comment ref="K26" authorId="0" shapeId="0" xr:uid="{EE027620-EA1A-4716-9DEB-0ACFBEBE475B}">
      <text>
        <r>
          <rPr>
            <b/>
            <sz val="9"/>
            <color indexed="81"/>
            <rFont val="Tahoma"/>
            <family val="2"/>
          </rPr>
          <t>N+x VM redundancy</t>
        </r>
      </text>
    </comment>
    <comment ref="C27" authorId="0" shapeId="0" xr:uid="{A6E2282A-7330-4CFA-A4B0-7926AC5FB507}">
      <text>
        <r>
          <rPr>
            <b/>
            <sz val="9"/>
            <color indexed="81"/>
            <rFont val="Tahoma"/>
            <family val="2"/>
          </rPr>
          <t>if win 10 multi-session, always pooled; otherwise default to the corresponding value entered in the User Requirements section</t>
        </r>
      </text>
    </comment>
    <comment ref="C29" authorId="0" shapeId="0" xr:uid="{D4EC9562-0634-4DCB-A02C-D36542E140E8}">
      <text>
        <r>
          <rPr>
            <b/>
            <sz val="9"/>
            <color indexed="81"/>
            <rFont val="Tahoma"/>
            <family val="2"/>
          </rPr>
          <t>Refer to [Default Values (MSFT Guidance)] for default values for multi-session
Not applicable to single-session because it's always 1 user per VM</t>
        </r>
      </text>
    </comment>
    <comment ref="C30" authorId="0" shapeId="0" xr:uid="{610244E0-1962-41F6-B30D-037BB857F93D}">
      <text>
        <r>
          <rPr>
            <b/>
            <sz val="9"/>
            <color indexed="81"/>
            <rFont val="Tahoma"/>
            <family val="2"/>
          </rPr>
          <t>Override default value
Note: Keep the cell empty if no override is needed</t>
        </r>
      </text>
    </comment>
    <comment ref="C32" authorId="0" shapeId="0" xr:uid="{4A7D35E5-CE70-4921-8DCE-8BB120716F36}">
      <text>
        <r>
          <rPr>
            <b/>
            <sz val="9"/>
            <color indexed="81"/>
            <rFont val="Tahoma"/>
            <family val="2"/>
          </rPr>
          <t>Refer to [Default Values (MSFT Guidance)] for default values</t>
        </r>
      </text>
    </comment>
    <comment ref="C33" authorId="0" shapeId="0" xr:uid="{B36C473C-BDB9-4108-9DCF-1504E5D04523}">
      <text>
        <r>
          <rPr>
            <b/>
            <sz val="9"/>
            <color indexed="81"/>
            <rFont val="Tahoma"/>
            <family val="2"/>
          </rPr>
          <t>Override default value
Note: Keep the cell empty if no override is needed</t>
        </r>
      </text>
    </comment>
    <comment ref="C35" authorId="0" shapeId="0" xr:uid="{A7A71FFE-546A-4EAA-82D7-A42008813DCA}">
      <text>
        <r>
          <rPr>
            <b/>
            <sz val="9"/>
            <color indexed="81"/>
            <rFont val="Tahoma"/>
            <family val="2"/>
          </rPr>
          <t>Customers always get WVD VM session host at Linux compute rate regardless of OS</t>
        </r>
        <r>
          <rPr>
            <sz val="9"/>
            <color indexed="81"/>
            <rFont val="Tahoma"/>
            <family val="2"/>
          </rPr>
          <t xml:space="preserve">
</t>
        </r>
      </text>
    </comment>
    <comment ref="C36" authorId="0" shapeId="0" xr:uid="{9C6BD464-5284-4AA8-9FAA-1792CEEC405A}">
      <text>
        <r>
          <rPr>
            <b/>
            <sz val="9"/>
            <color indexed="81"/>
            <rFont val="Tahoma"/>
            <family val="2"/>
          </rPr>
          <t xml:space="preserve">Show # vCPUs of VM Instance (final) </t>
        </r>
        <r>
          <rPr>
            <sz val="9"/>
            <color indexed="81"/>
            <rFont val="Tahoma"/>
            <family val="2"/>
          </rPr>
          <t xml:space="preserve">
</t>
        </r>
      </text>
    </comment>
    <comment ref="C37" authorId="0" shapeId="0" xr:uid="{BB5DF918-8C0B-420F-B9DE-B2DFE17F67CF}">
      <text>
        <r>
          <rPr>
            <b/>
            <sz val="9"/>
            <color indexed="81"/>
            <rFont val="Tahoma"/>
            <family val="2"/>
          </rPr>
          <t xml:space="preserve">Get RAM size of VM Instance (final) 
</t>
        </r>
        <r>
          <rPr>
            <sz val="9"/>
            <color indexed="81"/>
            <rFont val="Tahoma"/>
            <family val="2"/>
          </rPr>
          <t xml:space="preserve">
</t>
        </r>
      </text>
    </comment>
    <comment ref="C38" authorId="0" shapeId="0" xr:uid="{8C60989A-C947-449A-BC3C-F850DC2AF2D0}">
      <text>
        <r>
          <rPr>
            <b/>
            <sz val="9"/>
            <color indexed="81"/>
            <rFont val="Tahoma"/>
            <family val="2"/>
          </rPr>
          <t>Default to 3-year Reserved Instance</t>
        </r>
      </text>
    </comment>
    <comment ref="C39" authorId="0" shapeId="0" xr:uid="{9536C272-AFB9-4CEB-B134-16B54FF1BBA3}">
      <text>
        <r>
          <rPr>
            <b/>
            <sz val="9"/>
            <color indexed="81"/>
            <rFont val="Tahoma"/>
            <family val="2"/>
          </rPr>
          <t>Override default value
0: Pay-as-you-go
1: 1-year RI
3: 3-year RI
Note: Keep the cell empty if no override is needed</t>
        </r>
      </text>
    </comment>
    <comment ref="C41" authorId="0" shapeId="0" xr:uid="{7A033BC8-1BFA-4D52-AAF2-5C3DAD5CA57B}">
      <text>
        <r>
          <rPr>
            <b/>
            <sz val="9"/>
            <color indexed="81"/>
            <rFont val="Tahoma"/>
            <family val="2"/>
          </rPr>
          <t>Input work hours / month only for pay-as-you-go option</t>
        </r>
        <r>
          <rPr>
            <sz val="9"/>
            <color indexed="81"/>
            <rFont val="Tahoma"/>
            <family val="2"/>
          </rPr>
          <t xml:space="preserve">
</t>
        </r>
      </text>
    </comment>
    <comment ref="C42" authorId="0" shapeId="0" xr:uid="{39F89783-4119-4D94-999C-76DFE7AE2A30}">
      <text>
        <r>
          <rPr>
            <b/>
            <sz val="9"/>
            <color indexed="81"/>
            <rFont val="Tahoma"/>
            <family val="2"/>
          </rPr>
          <t>Customers always get WVD VM session host at Linux compute rate regardless of OS</t>
        </r>
        <r>
          <rPr>
            <sz val="9"/>
            <color indexed="81"/>
            <rFont val="Tahoma"/>
            <family val="2"/>
          </rPr>
          <t xml:space="preserve">
</t>
        </r>
      </text>
    </comment>
    <comment ref="C49" authorId="0" shapeId="0" xr:uid="{C2E85F8E-899E-4722-B8FE-614C269AE8E2}">
      <text>
        <r>
          <rPr>
            <b/>
            <sz val="9"/>
            <color indexed="81"/>
            <rFont val="Tahoma"/>
            <family val="2"/>
          </rPr>
          <t>Refer to [Default Values (MSFT Guidance)] for default values</t>
        </r>
        <r>
          <rPr>
            <sz val="9"/>
            <color indexed="81"/>
            <rFont val="Tahoma"/>
            <family val="2"/>
          </rPr>
          <t xml:space="preserve">
</t>
        </r>
      </text>
    </comment>
    <comment ref="C50" authorId="0" shapeId="0" xr:uid="{47FA6192-7A5E-428C-9104-9BC8F1FB47AF}">
      <text>
        <r>
          <rPr>
            <b/>
            <sz val="9"/>
            <color indexed="81"/>
            <rFont val="Tahoma"/>
            <family val="2"/>
          </rPr>
          <t>Override default value
Note: Keep the cell empty if no override is needed</t>
        </r>
        <r>
          <rPr>
            <sz val="9"/>
            <color indexed="81"/>
            <rFont val="Tahoma"/>
            <family val="2"/>
          </rPr>
          <t xml:space="preserve">
</t>
        </r>
      </text>
    </comment>
    <comment ref="C52" authorId="0" shapeId="0" xr:uid="{CA9E2E48-FCAD-47BC-ACC2-0973CD0ADFDC}">
      <text>
        <r>
          <rPr>
            <b/>
            <sz val="9"/>
            <color indexed="81"/>
            <rFont val="Tahoma"/>
            <family val="2"/>
          </rPr>
          <t>Refer to [Default Values (MSFT Guidance)] for default values</t>
        </r>
        <r>
          <rPr>
            <sz val="9"/>
            <color indexed="81"/>
            <rFont val="Tahoma"/>
            <family val="2"/>
          </rPr>
          <t xml:space="preserve">
</t>
        </r>
      </text>
    </comment>
    <comment ref="C53" authorId="0" shapeId="0" xr:uid="{5E5D5013-4588-4103-AB92-EE58CA20300C}">
      <text>
        <r>
          <rPr>
            <b/>
            <sz val="9"/>
            <color indexed="81"/>
            <rFont val="Tahoma"/>
            <family val="2"/>
          </rPr>
          <t>Refer to [Default Values (MSFT Guidance)] for default values
standard = standard hdd
ssd = standard ssd
premium = premium ssd</t>
        </r>
        <r>
          <rPr>
            <sz val="9"/>
            <color indexed="81"/>
            <rFont val="Tahoma"/>
            <family val="2"/>
          </rPr>
          <t xml:space="preserve">
</t>
        </r>
      </text>
    </comment>
    <comment ref="C54" authorId="0" shapeId="0" xr:uid="{719C234E-EEE8-4161-865E-BEC0DCB89438}">
      <text>
        <r>
          <rPr>
            <b/>
            <sz val="9"/>
            <color indexed="81"/>
            <rFont val="Tahoma"/>
            <family val="2"/>
          </rPr>
          <t>Override default value
standard = standard hdd
ssd = standard ssd
premium = premium ssd
Note: Keep the cell empty if no override is needed</t>
        </r>
      </text>
    </comment>
    <comment ref="C67" authorId="0" shapeId="0" xr:uid="{EEC35F3F-5506-474C-B53A-A8B6BFEEF109}">
      <text>
        <r>
          <rPr>
            <b/>
            <sz val="9"/>
            <color indexed="81"/>
            <rFont val="Tahoma"/>
            <family val="2"/>
          </rPr>
          <t>Refer to [Default Values (MSFT Guidance)] for default values</t>
        </r>
        <r>
          <rPr>
            <sz val="9"/>
            <color indexed="81"/>
            <rFont val="Tahoma"/>
            <family val="2"/>
          </rPr>
          <t xml:space="preserve">
</t>
        </r>
      </text>
    </comment>
    <comment ref="C68" authorId="0" shapeId="0" xr:uid="{42D22834-C333-410F-8983-B07904961FEF}">
      <text>
        <r>
          <rPr>
            <b/>
            <sz val="9"/>
            <color indexed="81"/>
            <rFont val="Tahoma"/>
            <family val="2"/>
          </rPr>
          <t>Refer to [Default Values (MSFT Guidance)] for default values</t>
        </r>
        <r>
          <rPr>
            <sz val="9"/>
            <color indexed="81"/>
            <rFont val="Tahoma"/>
            <family val="2"/>
          </rPr>
          <t xml:space="preserve">
</t>
        </r>
      </text>
    </comment>
    <comment ref="C69" authorId="0" shapeId="0" xr:uid="{3AD50A7F-A7C7-40CC-85B2-B1114DCB8733}">
      <text>
        <r>
          <rPr>
            <b/>
            <sz val="9"/>
            <color indexed="81"/>
            <rFont val="Tahoma"/>
            <family val="2"/>
          </rPr>
          <t>standard = standard hdd
ssd = standard ssd
premium = premium ssd</t>
        </r>
        <r>
          <rPr>
            <sz val="9"/>
            <color indexed="81"/>
            <rFont val="Tahoma"/>
            <family val="2"/>
          </rPr>
          <t xml:space="preserve">
</t>
        </r>
      </text>
    </comment>
    <comment ref="C80" authorId="0" shapeId="0" xr:uid="{5C30DCEE-D5CB-4F56-8599-2C9B6DBFDE6E}">
      <text>
        <r>
          <rPr>
            <b/>
            <sz val="9"/>
            <color indexed="81"/>
            <rFont val="Tahoma"/>
            <family val="2"/>
          </rPr>
          <t>Use this row to override the calculated compute cost only if customer receives exclusive discount from Azure (e.g. because of the customer's relationship with Azure)</t>
        </r>
        <r>
          <rPr>
            <sz val="9"/>
            <color indexed="81"/>
            <rFont val="Tahoma"/>
            <family val="2"/>
          </rPr>
          <t xml:space="preserve">
</t>
        </r>
      </text>
    </comment>
    <comment ref="C86" authorId="0" shapeId="0" xr:uid="{99E95E31-65DC-4875-85F0-7C085DC6C95F}">
      <text>
        <r>
          <rPr>
            <b/>
            <sz val="9"/>
            <color indexed="81"/>
            <rFont val="Tahoma"/>
            <family val="2"/>
          </rPr>
          <t>Refer to [Default Values (MSFT Guidance)] for default values</t>
        </r>
        <r>
          <rPr>
            <sz val="9"/>
            <color indexed="81"/>
            <rFont val="Tahoma"/>
            <family val="2"/>
          </rPr>
          <t xml:space="preserve">
</t>
        </r>
      </text>
    </comment>
    <comment ref="C87" authorId="0" shapeId="0" xr:uid="{D8093D1D-A800-4EA2-87C5-CD6D706A0814}">
      <text>
        <r>
          <rPr>
            <b/>
            <sz val="9"/>
            <color indexed="81"/>
            <rFont val="Tahoma"/>
            <family val="2"/>
          </rPr>
          <t>Override default value
Note: Keep the cell empty if no override is needed</t>
        </r>
      </text>
    </comment>
    <comment ref="C92" authorId="0" shapeId="0" xr:uid="{A86CBAFF-2DC7-49BD-94BF-CCE1EDC72947}">
      <text>
        <r>
          <rPr>
            <b/>
            <sz val="9"/>
            <color indexed="81"/>
            <rFont val="Tahoma"/>
            <family val="2"/>
          </rPr>
          <t>Choose from two storage options:
- File Server
- Azure NetApp Files
Once one option is chosen, the entry section for the other option will be grayed out</t>
        </r>
        <r>
          <rPr>
            <sz val="9"/>
            <color indexed="81"/>
            <rFont val="Tahoma"/>
            <family val="2"/>
          </rPr>
          <t xml:space="preserve">
</t>
        </r>
      </text>
    </comment>
    <comment ref="C93" authorId="0" shapeId="0" xr:uid="{5BAF4E98-9923-48AC-B909-A686BF570A10}">
      <text>
        <r>
          <rPr>
            <b/>
            <sz val="9"/>
            <color indexed="81"/>
            <rFont val="Tahoma"/>
            <family val="2"/>
          </rPr>
          <t>Choose from two storage options:
- File Server
- Azure NetApp Files
Once one option is chosen, the entry section for the other option will be grayed out</t>
        </r>
        <r>
          <rPr>
            <sz val="9"/>
            <color indexed="81"/>
            <rFont val="Tahoma"/>
            <family val="2"/>
          </rPr>
          <t xml:space="preserve">
</t>
        </r>
      </text>
    </comment>
    <comment ref="C97" authorId="0" shapeId="0" xr:uid="{8F7A6C02-D6D3-4B86-8B47-5C3473FC77C3}">
      <text>
        <r>
          <rPr>
            <b/>
            <sz val="9"/>
            <color indexed="81"/>
            <rFont val="Tahoma"/>
            <family val="2"/>
          </rPr>
          <t>Choose from two pricing options:
- Hour
- Month</t>
        </r>
        <r>
          <rPr>
            <sz val="9"/>
            <color indexed="81"/>
            <rFont val="Tahoma"/>
            <family val="2"/>
          </rPr>
          <t xml:space="preserve">
</t>
        </r>
      </text>
    </comment>
    <comment ref="C98" authorId="0" shapeId="0" xr:uid="{56AE8C59-4571-4A43-AB9C-62C4008462E8}">
      <text>
        <r>
          <rPr>
            <b/>
            <sz val="9"/>
            <color indexed="81"/>
            <rFont val="Tahoma"/>
            <family val="2"/>
          </rPr>
          <t>Only valid if Hour is chosen for pricing option</t>
        </r>
      </text>
    </comment>
    <comment ref="C99" authorId="0" shapeId="0" xr:uid="{9B704832-BDFE-40C1-989A-FEC74889A5DD}">
      <text>
        <r>
          <rPr>
            <b/>
            <sz val="9"/>
            <color indexed="81"/>
            <rFont val="Tahoma"/>
            <family val="2"/>
          </rPr>
          <t>Refer to [Default Values (MSFT Guidance)] for default values</t>
        </r>
        <r>
          <rPr>
            <sz val="9"/>
            <color indexed="81"/>
            <rFont val="Tahoma"/>
            <family val="2"/>
          </rPr>
          <t xml:space="preserve">
</t>
        </r>
      </text>
    </comment>
    <comment ref="C100" authorId="0" shapeId="0" xr:uid="{D75ECE1F-5EAE-4965-89CB-EEB2ECD2A00E}">
      <text>
        <r>
          <rPr>
            <b/>
            <sz val="9"/>
            <color indexed="81"/>
            <rFont val="Tahoma"/>
            <family val="2"/>
          </rPr>
          <t>Override default value
Note: Keep the cell empty if no override is needed</t>
        </r>
        <r>
          <rPr>
            <sz val="9"/>
            <color indexed="81"/>
            <rFont val="Tahoma"/>
            <family val="2"/>
          </rPr>
          <t xml:space="preserve">
</t>
        </r>
      </text>
    </comment>
    <comment ref="C102" authorId="0" shapeId="0" xr:uid="{F04C1B06-2B18-40FF-AFAB-5B75E69C3723}">
      <text>
        <r>
          <rPr>
            <b/>
            <sz val="9"/>
            <color indexed="81"/>
            <rFont val="Tahoma"/>
            <family val="2"/>
          </rPr>
          <t>Lookup the price at https://azure.microsoft.com/en-us/pricing/details/netapp/and enter the price in the cell</t>
        </r>
        <r>
          <rPr>
            <sz val="9"/>
            <color indexed="81"/>
            <rFont val="Tahoma"/>
            <family val="2"/>
          </rPr>
          <t xml:space="preserve">
</t>
        </r>
      </text>
    </comment>
    <comment ref="C107" authorId="0" shapeId="0" xr:uid="{FE5AEE6D-71B7-462F-853D-E36E0B42C08B}">
      <text>
        <r>
          <rPr>
            <b/>
            <sz val="9"/>
            <color indexed="81"/>
            <rFont val="Tahoma"/>
            <family val="2"/>
          </rPr>
          <t>Refer to [Default Values (MSFT Guidance)] for default values</t>
        </r>
        <r>
          <rPr>
            <sz val="9"/>
            <color indexed="81"/>
            <rFont val="Tahoma"/>
            <family val="2"/>
          </rPr>
          <t xml:space="preserve">
</t>
        </r>
      </text>
    </comment>
    <comment ref="C108" authorId="0" shapeId="0" xr:uid="{32B92B4B-A97E-40E6-8874-76E7DA31BE74}">
      <text>
        <r>
          <rPr>
            <b/>
            <sz val="9"/>
            <color indexed="81"/>
            <rFont val="Tahoma"/>
            <family val="2"/>
          </rPr>
          <t>Override default value
Note: Keep the cell empty if no override is needed</t>
        </r>
      </text>
    </comment>
    <comment ref="C110" authorId="0" shapeId="0" xr:uid="{4D556F55-722D-449D-9AAE-D35EBAE755D8}">
      <text>
        <r>
          <rPr>
            <b/>
            <sz val="9"/>
            <color indexed="81"/>
            <rFont val="Tahoma"/>
            <family val="2"/>
          </rPr>
          <t>Refer to [Default Values (MSFT Guidance)] for default values
standard = standard hdd
ssd = standard ssd
premium = premium ssd</t>
        </r>
      </text>
    </comment>
    <comment ref="C111" authorId="0" shapeId="0" xr:uid="{6084D9E9-81A7-44BF-93ED-2BCD70EFDE5E}">
      <text>
        <r>
          <rPr>
            <b/>
            <sz val="9"/>
            <color indexed="81"/>
            <rFont val="Tahoma"/>
            <family val="2"/>
          </rPr>
          <t xml:space="preserve">Override default value
standard = standard hdd
ssd = standard ssd
premium = premium ssd
Note: Keep the cell empty if no override is needed
</t>
        </r>
      </text>
    </comment>
    <comment ref="C126" authorId="0" shapeId="0" xr:uid="{25968F30-4661-41F1-B5ED-188F8BFDBD6F}">
      <text>
        <r>
          <rPr>
            <b/>
            <sz val="9"/>
            <color indexed="81"/>
            <rFont val="Tahoma"/>
            <family val="2"/>
          </rPr>
          <t>Enter # of additional VMs required; keep empty if no additional VM is required</t>
        </r>
      </text>
    </comment>
    <comment ref="C128" authorId="0" shapeId="0" xr:uid="{C183F135-36EF-451A-985A-2352C47FCE61}">
      <text>
        <r>
          <rPr>
            <b/>
            <sz val="9"/>
            <color indexed="81"/>
            <rFont val="Tahoma"/>
            <family val="2"/>
          </rPr>
          <t>Input hours only if you choose pay-as-you-go billing</t>
        </r>
        <r>
          <rPr>
            <sz val="9"/>
            <color indexed="81"/>
            <rFont val="Tahoma"/>
            <family val="2"/>
          </rPr>
          <t xml:space="preserve">
</t>
        </r>
      </text>
    </comment>
    <comment ref="C134" authorId="0" shapeId="0" xr:uid="{B7EEB1D3-B3C0-449B-9C54-1C6C184E89C9}">
      <text>
        <r>
          <rPr>
            <b/>
            <sz val="9"/>
            <color indexed="81"/>
            <rFont val="Tahoma"/>
            <family val="2"/>
          </rPr>
          <t>Override default value
Note: Keep the cell empty if no override is needed</t>
        </r>
      </text>
    </comment>
    <comment ref="C138" authorId="0" shapeId="0" xr:uid="{D498606A-5202-4D7D-B7D4-9407D9D9F7E8}">
      <text>
        <r>
          <rPr>
            <b/>
            <sz val="9"/>
            <color indexed="81"/>
            <rFont val="Tahoma"/>
            <family val="2"/>
          </rPr>
          <t>Override default value
standard = standard hdd
ssd = standard ssd
premium = premium ssd
Note: Keep the cell empty if no override is needed</t>
        </r>
      </text>
    </comment>
    <comment ref="C157" authorId="0" shapeId="0" xr:uid="{4B490C4F-AFFC-48B9-A64B-1629E1AE62C6}">
      <text>
        <r>
          <rPr>
            <b/>
            <sz val="9"/>
            <color indexed="81"/>
            <rFont val="Tahoma"/>
            <family val="2"/>
          </rPr>
          <t>Source Region and Destination Region together determines whether it's across-region networking traffic</t>
        </r>
        <r>
          <rPr>
            <sz val="9"/>
            <color indexed="81"/>
            <rFont val="Tahoma"/>
            <family val="2"/>
          </rPr>
          <t xml:space="preserve">
</t>
        </r>
      </text>
    </comment>
    <comment ref="C159" authorId="0" shapeId="0" xr:uid="{77B1159D-C79C-4B42-9CFA-E079F186E827}">
      <text>
        <r>
          <rPr>
            <b/>
            <sz val="9"/>
            <color indexed="81"/>
            <rFont val="Tahoma"/>
            <family val="2"/>
          </rPr>
          <t>Refer to [Default Values (MSFT Guidance)] for default values</t>
        </r>
        <r>
          <rPr>
            <sz val="9"/>
            <color indexed="81"/>
            <rFont val="Tahoma"/>
            <family val="2"/>
          </rPr>
          <t xml:space="preserve">
</t>
        </r>
      </text>
    </comment>
    <comment ref="C160" authorId="0" shapeId="0" xr:uid="{C2F41803-76DF-4210-A96B-266CBF8DBD88}">
      <text>
        <r>
          <rPr>
            <b/>
            <sz val="9"/>
            <color indexed="81"/>
            <rFont val="Tahoma"/>
            <family val="2"/>
          </rPr>
          <t>Override default value
Note: Keep the cell empty if no override is needed</t>
        </r>
        <r>
          <rPr>
            <sz val="9"/>
            <color indexed="81"/>
            <rFont val="Tahoma"/>
            <family val="2"/>
          </rPr>
          <t xml:space="preserve">
</t>
        </r>
      </text>
    </comment>
    <comment ref="C165" authorId="0" shapeId="0" xr:uid="{68D27DC8-3AEA-4CA5-BAC7-9F28A1818131}">
      <text>
        <r>
          <rPr>
            <b/>
            <sz val="9"/>
            <color indexed="81"/>
            <rFont val="Tahoma"/>
            <family val="2"/>
          </rPr>
          <t>Enter network price from Azure pricing calculator based on source and destination region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Hua</author>
  </authors>
  <commentList>
    <comment ref="C7" authorId="0" shapeId="0" xr:uid="{0CA1B422-43F5-4FA9-B9D1-D287E1C4B91D}">
      <text>
        <r>
          <rPr>
            <b/>
            <sz val="9"/>
            <color indexed="81"/>
            <rFont val="Tahoma"/>
            <family val="2"/>
          </rPr>
          <t>Select the currency for cost estimation</t>
        </r>
      </text>
    </comment>
    <comment ref="C8" authorId="0" shapeId="0" xr:uid="{BE19611A-18A0-43D6-8962-E80A6FEB57FB}">
      <text>
        <r>
          <rPr>
            <b/>
            <sz val="9"/>
            <color indexed="81"/>
            <rFont val="Tahoma"/>
            <family val="2"/>
          </rPr>
          <t>Select whether the customer has AHUB rights. If the customer has AHUB rights, they can get Linux rate when buying VMs for Storage.  (Linux rates will apply to Compute, regardless of AHUB rights)</t>
        </r>
      </text>
    </comment>
    <comment ref="C13" authorId="0" shapeId="0" xr:uid="{3A1CA0F2-82E4-4EF5-93A3-3F71C8D86501}">
      <text>
        <r>
          <rPr>
            <b/>
            <sz val="9"/>
            <color indexed="81"/>
            <rFont val="Tahoma"/>
            <family val="2"/>
          </rPr>
          <t>Select the OS the customer is using today</t>
        </r>
      </text>
    </comment>
    <comment ref="C14" authorId="0" shapeId="0" xr:uid="{B705D57F-002D-4F54-A477-DF570917ECD3}">
      <text>
        <r>
          <rPr>
            <b/>
            <sz val="9"/>
            <color indexed="81"/>
            <rFont val="Tahoma"/>
            <family val="2"/>
          </rPr>
          <t xml:space="preserve">Select whether the customer environment is virtualized today </t>
        </r>
      </text>
    </comment>
    <comment ref="C16" authorId="0" shapeId="0" xr:uid="{C6141FED-CF75-4D35-856D-BAC04C127F96}">
      <text>
        <r>
          <rPr>
            <b/>
            <sz val="9"/>
            <color indexed="81"/>
            <rFont val="Tahoma"/>
            <family val="2"/>
          </rPr>
          <t>Select the envisioned WVD deployment</t>
        </r>
      </text>
    </comment>
    <comment ref="C19" authorId="0" shapeId="0" xr:uid="{E54C83F0-6CDF-469B-8FBB-0A7AE9F1FCAD}">
      <text>
        <r>
          <rPr>
            <b/>
            <sz val="9"/>
            <color indexed="81"/>
            <rFont val="Tahoma"/>
            <family val="2"/>
          </rPr>
          <t>Refer to [Default Values (MSFT Guidance)] tab for User Type definition</t>
        </r>
        <r>
          <rPr>
            <sz val="9"/>
            <color indexed="81"/>
            <rFont val="Tahoma"/>
            <family val="2"/>
          </rPr>
          <t xml:space="preserve">
</t>
        </r>
      </text>
    </comment>
    <comment ref="C23" authorId="0" shapeId="0" xr:uid="{EFAB5D9D-8146-4844-A2DB-4BE1D1300BD9}">
      <text>
        <r>
          <rPr>
            <b/>
            <sz val="9"/>
            <color indexed="81"/>
            <rFont val="Tahoma"/>
            <family val="2"/>
          </rPr>
          <t>Percentage of users that are logged in at the same time during peak hours</t>
        </r>
      </text>
    </comment>
    <comment ref="C24" authorId="0" shapeId="0" xr:uid="{E02A01AE-8460-42BC-B150-6DCC00267BE6}">
      <text>
        <r>
          <rPr>
            <b/>
            <sz val="9"/>
            <color indexed="81"/>
            <rFont val="Tahoma"/>
            <family val="2"/>
          </rPr>
          <t>Percentage of users that are logged in at the same time during off peak hours</t>
        </r>
      </text>
    </comment>
    <comment ref="C25" authorId="0" shapeId="0" xr:uid="{DEF6B2D1-41B0-40C8-8538-DB03C45402B8}">
      <text>
        <r>
          <rPr>
            <b/>
            <sz val="9"/>
            <color indexed="81"/>
            <rFont val="Tahoma"/>
            <family val="2"/>
          </rPr>
          <t>Enter # hours that customers require VMs keep running per day</t>
        </r>
      </text>
    </comment>
    <comment ref="C26" authorId="0" shapeId="0" xr:uid="{3BED6F4D-697C-4AB4-8A92-DF754B4E73A6}">
      <text>
        <r>
          <rPr>
            <b/>
            <sz val="9"/>
            <color indexed="81"/>
            <rFont val="Tahoma"/>
            <family val="2"/>
          </rPr>
          <t>Enter # days that customers require VMs keep running per week</t>
        </r>
      </text>
    </comment>
    <comment ref="C27" authorId="0" shapeId="0" xr:uid="{D0C266AD-652F-4DCB-9A23-A618B8375EFC}">
      <text>
        <r>
          <rPr>
            <b/>
            <sz val="11"/>
            <color theme="1"/>
            <rFont val="Calibri"/>
            <family val="2"/>
            <scheme val="minor"/>
          </rPr>
          <t xml:space="preserve">This criteria determines whether users require personal desktop. 
Note: this criteria doesn't apply to Windows 10 multi-session; select Windows 10 if the users would need local app install or local admin access </t>
        </r>
      </text>
    </comment>
    <comment ref="C32" authorId="0" shapeId="0" xr:uid="{BACB4FF5-CF21-486E-842D-5BF93CD8D40E}">
      <text>
        <r>
          <rPr>
            <b/>
            <sz val="9"/>
            <color indexed="81"/>
            <rFont val="Tahoma"/>
            <family val="2"/>
          </rPr>
          <t>This section is used to determine WVD rights qualification and serves as a baseline for client licensing cost comparison with when moving to WVD</t>
        </r>
      </text>
    </comment>
    <comment ref="C33" authorId="0" shapeId="0" xr:uid="{75A3C28A-B054-4420-A0F6-3A40BDC0CD67}">
      <text>
        <r>
          <rPr>
            <b/>
            <sz val="9"/>
            <color indexed="81"/>
            <rFont val="Tahoma"/>
            <family val="2"/>
          </rPr>
          <t>Select WVD-relevant client-based license position (refer to column J, K for WVD license requirements)
Choose Other if customers have WVD-relevant license but at a lower subscription tier (e.g. M365 E1) - they will need to upgrade their subscription tier after moving to WVD
Choose None if customers don't have any WVD-relevant license
What does "WVD-relevant" mean?
- license that customers have today and will continue to use for WVD purpose. For exmaple, if customers use M365 E3 today, they will continue to use the same license when moving to W10 WVD
- license that customers have today but can get rid of after moving to WVD. For example, if customers move from RDS on-prem to W10 WVD, they can get rid of RDS CAL
- A "WVD-irrelevant" example: if customers have M365 today but they still need to keep using M365 even after moving to WS WVD, this M365 is NOT WVD-relevant because customers will not be using M365 for WVD purpose</t>
        </r>
      </text>
    </comment>
    <comment ref="C34" authorId="0" shapeId="0" xr:uid="{CB31B75A-951A-4D65-823A-20DC3EF7E49D}">
      <text>
        <r>
          <rPr>
            <b/>
            <sz val="9"/>
            <color indexed="81"/>
            <rFont val="Tahoma"/>
            <family val="2"/>
          </rPr>
          <t>Enter the cost for selected client-based license; the cell will gray out if "none" is selected in current position</t>
        </r>
      </text>
    </comment>
    <comment ref="C35" authorId="0" shapeId="0" xr:uid="{D4AFC0C9-4867-413A-B2DE-140A4B0A195F}">
      <text>
        <r>
          <rPr>
            <b/>
            <sz val="9"/>
            <color indexed="81"/>
            <rFont val="Tahoma"/>
            <family val="2"/>
          </rPr>
          <t>Select the most relevant server-based license position (refer to column J, K for WVD license requirements)
Choose Other if customers have relevant license but at a lower subscription tier (e.g. RDS CAL w/o SA)
Choose None if customers don't have any relevant license</t>
        </r>
      </text>
    </comment>
    <comment ref="C36" authorId="0" shapeId="0" xr:uid="{2D4DCE43-5CC2-47DF-941F-1C9FF423E1BE}">
      <text>
        <r>
          <rPr>
            <b/>
            <sz val="9"/>
            <color indexed="81"/>
            <rFont val="Tahoma"/>
            <family val="2"/>
          </rPr>
          <t>Enter the cost for selected server-based license; the cell will gray out if "none" is selected in current position</t>
        </r>
      </text>
    </comment>
    <comment ref="C37" authorId="0" shapeId="0" xr:uid="{0D5A43AC-C2F6-4FB8-8489-C6D2C2F9322A}">
      <text>
        <r>
          <rPr>
            <b/>
            <sz val="9"/>
            <color indexed="81"/>
            <rFont val="Tahoma"/>
            <family val="2"/>
          </rPr>
          <t>Calculate WVD rights qualification based on inputs of envisioned WVD deployment and current client license position</t>
        </r>
      </text>
    </comment>
    <comment ref="C39" authorId="0" shapeId="0" xr:uid="{64F6C42D-1D68-4756-9509-91EE331048A2}">
      <text>
        <r>
          <rPr>
            <b/>
            <sz val="9"/>
            <color indexed="81"/>
            <rFont val="Tahoma"/>
            <family val="2"/>
          </rPr>
          <t>This section serves as a baseline for Windows Server license cost comparison with when moving to WVD. WVD doesn't require Windows Server license so it'll be a cost saving for customers if they are paying for Windows Server license today</t>
        </r>
      </text>
    </comment>
    <comment ref="C40" authorId="0" shapeId="0" xr:uid="{8C911972-5BF2-443B-8706-2EF62D7E4FF6}">
      <text>
        <r>
          <rPr>
            <b/>
            <sz val="9"/>
            <color indexed="81"/>
            <rFont val="Tahoma"/>
            <family val="2"/>
          </rPr>
          <t>Enter Windows Server license (for session host VMs) price only if customers are using windows server RDSH deployment today;
If they are paying for perpetual license, enter the amortized license price (perpetual license price divded by # of months); otherwise enter the subscription price</t>
        </r>
      </text>
    </comment>
    <comment ref="C42" authorId="0" shapeId="0" xr:uid="{E8A82ECB-75B7-468D-8F12-B728406762F2}">
      <text>
        <r>
          <rPr>
            <b/>
            <sz val="9"/>
            <color indexed="81"/>
            <rFont val="Tahoma"/>
            <family val="2"/>
          </rPr>
          <t>This section serves as a baseline for cost comparison with when moving to WVD. FSLogix is free to WVD-qualified customers so it'll be a cost saving if customers are paying for FSLogix today, and a value prop if customers are not using FSLogix yet</t>
        </r>
      </text>
    </comment>
    <comment ref="C43" authorId="0" shapeId="0" xr:uid="{B6AEB3ED-10AE-4A56-8F8B-D6C0DF01B865}">
      <text>
        <r>
          <rPr>
            <b/>
            <sz val="9"/>
            <color indexed="81"/>
            <rFont val="Tahoma"/>
            <family val="2"/>
          </rPr>
          <t>Enter Windows Server license price only if customers are using server-based deployment today;
If they are paying for perpetual license, enter the amortized license price (perpetual license price divded by # of months); otherwise enter the subscription price</t>
        </r>
      </text>
    </comment>
    <comment ref="C48" authorId="0" shapeId="0" xr:uid="{C2BCE5A0-D37E-4BCA-A751-7610C03984C7}">
      <text>
        <r>
          <rPr>
            <b/>
            <sz val="9"/>
            <color indexed="81"/>
            <rFont val="Tahoma"/>
            <family val="2"/>
          </rPr>
          <t xml:space="preserve">This section serves as a baseline for Citrix/VMware licensing cost comparison with when moving to WVD. </t>
        </r>
      </text>
    </comment>
    <comment ref="C49" authorId="0" shapeId="0" xr:uid="{394A67B8-26C6-44F3-8683-BA0D8C5A6020}">
      <text>
        <r>
          <rPr>
            <b/>
            <sz val="9"/>
            <color indexed="81"/>
            <rFont val="Tahoma"/>
            <family val="2"/>
          </rPr>
          <t>If customers are paying for perpetual license, enter amortized license price (perpetual license price divded by # of months)
If customers are paying subscription price, enter the subscription price
If customers are physical or not virtualized using Citrix/VMware, enter 0</t>
        </r>
        <r>
          <rPr>
            <sz val="9"/>
            <color indexed="81"/>
            <rFont val="Tahoma"/>
            <family val="2"/>
          </rPr>
          <t xml:space="preserve">
</t>
        </r>
      </text>
    </comment>
    <comment ref="C50" authorId="0" shapeId="0" xr:uid="{CFAFB0B5-FE9C-4C06-B162-6E70A59A4C33}">
      <text>
        <r>
          <rPr>
            <b/>
            <sz val="9"/>
            <color indexed="81"/>
            <rFont val="Tahoma"/>
            <family val="2"/>
          </rPr>
          <t>If customers are on-prem, enter software maintenance cost
If customers are in the cloud / physical / not virtualized using Citrix/VMware, enter 0 because software maintenance cost is not relevant in those cases</t>
        </r>
      </text>
    </comment>
    <comment ref="C51" authorId="0" shapeId="0" xr:uid="{94A512EB-C84C-45FD-A3FD-DF4FFB19F3B8}">
      <text>
        <r>
          <rPr>
            <b/>
            <sz val="9"/>
            <color indexed="81"/>
            <rFont val="Tahoma"/>
            <family val="2"/>
          </rPr>
          <t>Input the infra cost for Citrix or VMware management plane. If unknown, enter 0</t>
        </r>
      </text>
    </comment>
    <comment ref="C57" authorId="0" shapeId="0" xr:uid="{60BA1651-768E-41C9-BEAA-ED78F448FC0A}">
      <text>
        <r>
          <rPr>
            <b/>
            <sz val="9"/>
            <color indexed="81"/>
            <rFont val="Tahoma"/>
            <family val="2"/>
          </rPr>
          <t xml:space="preserve">This section serves as a baseline for infra cost comparison with WVD. </t>
        </r>
      </text>
    </comment>
    <comment ref="C58" authorId="0" shapeId="0" xr:uid="{62193EF5-5709-4377-A6CC-73F2FB2D1D0E}">
      <text>
        <r>
          <rPr>
            <b/>
            <sz val="9"/>
            <color indexed="81"/>
            <rFont val="Tahoma"/>
            <family val="2"/>
          </rPr>
          <t xml:space="preserve">if customer is currently virtualized on-prem, enter the total compute cost
if customer is currently virtualized in the cloud, enter annual compute service cost
if customer is not virtualized, enter 0 </t>
        </r>
        <r>
          <rPr>
            <sz val="9"/>
            <color indexed="81"/>
            <rFont val="Tahoma"/>
            <family val="2"/>
          </rPr>
          <t xml:space="preserve">
</t>
        </r>
      </text>
    </comment>
    <comment ref="C59" authorId="0" shapeId="0" xr:uid="{8F02BA07-D7F1-4917-A5BB-61B0DB4DEFF8}">
      <text>
        <r>
          <rPr>
            <b/>
            <sz val="9"/>
            <color indexed="81"/>
            <rFont val="Tahoma"/>
            <family val="2"/>
          </rPr>
          <t xml:space="preserve">if customer is currently virtualized on-prem, enter the total storage cost
if customer is currently virtualized in the cloud, enter annual storage service cost
if customer is not virtualized, enter 0 
</t>
        </r>
        <r>
          <rPr>
            <sz val="9"/>
            <color indexed="81"/>
            <rFont val="Tahoma"/>
            <family val="2"/>
          </rPr>
          <t xml:space="preserve">
</t>
        </r>
      </text>
    </comment>
    <comment ref="C60" authorId="0" shapeId="0" xr:uid="{DC3FDC96-B256-497B-BADA-62AC3202D173}">
      <text>
        <r>
          <rPr>
            <b/>
            <sz val="9"/>
            <color indexed="81"/>
            <rFont val="Tahoma"/>
            <family val="2"/>
          </rPr>
          <t xml:space="preserve">if customer is currently virtualized on-prem, enter the total networking cost
if customer is currently virtualized in the cloud, enter annual networking service cost
if customer is not virtualized, enter 0 
</t>
        </r>
        <r>
          <rPr>
            <sz val="9"/>
            <color indexed="81"/>
            <rFont val="Tahoma"/>
            <family val="2"/>
          </rPr>
          <t xml:space="preserve">
</t>
        </r>
      </text>
    </comment>
    <comment ref="C61" authorId="0" shapeId="0" xr:uid="{72C47918-CEA8-4142-8D0D-48D46675AEEB}">
      <text>
        <r>
          <rPr>
            <b/>
            <sz val="9"/>
            <color indexed="81"/>
            <rFont val="Tahoma"/>
            <family val="2"/>
          </rPr>
          <t>If the customer wants to compare infra cost other than VM, Storage, and Networking with when moving to WVD, use this row and make sure the corresponding item in [4. Azure Infrastructure Cost] is also populated</t>
        </r>
      </text>
    </comment>
    <comment ref="C64" authorId="0" shapeId="0" xr:uid="{6277BFD2-C309-4E7A-8797-D43F8624F03D}">
      <text>
        <r>
          <rPr>
            <b/>
            <sz val="9"/>
            <color indexed="81"/>
            <rFont val="Tahoma"/>
            <family val="2"/>
          </rPr>
          <t xml:space="preserve">if customer is currently virtualized on-prem, enter the number of depreciation years for customer's data center 
if customer is currently virtualized in the cloud, enter 1
if customer is not virtualized, enter 0 </t>
        </r>
      </text>
    </comment>
    <comment ref="C70" authorId="0" shapeId="0" xr:uid="{4B4A6F71-CB76-42F3-926E-DF6BF279DF2B}">
      <text>
        <r>
          <rPr>
            <b/>
            <sz val="9"/>
            <color indexed="81"/>
            <rFont val="Tahoma"/>
            <family val="2"/>
          </rPr>
          <t xml:space="preserve">This section serves as a baseline for device cost comparison with WVD. </t>
        </r>
        <r>
          <rPr>
            <sz val="9"/>
            <color indexed="81"/>
            <rFont val="Tahoma"/>
            <family val="2"/>
          </rPr>
          <t xml:space="preserve">
</t>
        </r>
      </text>
    </comment>
    <comment ref="C76" authorId="0" shapeId="0" xr:uid="{07AB59B1-E3F2-46A5-A355-9CA9D0965B04}">
      <text>
        <r>
          <rPr>
            <b/>
            <sz val="9"/>
            <color indexed="81"/>
            <rFont val="Tahoma"/>
            <family val="2"/>
          </rPr>
          <t xml:space="preserve">This section serves as a baseline for desktop management cost comparison with WVD.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Hua</author>
  </authors>
  <commentList>
    <comment ref="C13" authorId="0" shapeId="0" xr:uid="{A778AC9C-E41E-44A5-A187-8F2CAE59AD67}">
      <text>
        <r>
          <rPr>
            <b/>
            <sz val="9"/>
            <color indexed="81"/>
            <rFont val="Tahoma"/>
            <family val="2"/>
          </rPr>
          <t>Select a license that meets WVD licensing requirement (see column J, K) for the corresponding  deployment model
note: this row is available only if customers require additional licensing to qualify for WVD</t>
        </r>
      </text>
    </comment>
    <comment ref="C14" authorId="0" shapeId="0" xr:uid="{2BEF2AD6-787C-4D01-98A5-680802D32FBA}">
      <text>
        <r>
          <rPr>
            <b/>
            <sz val="9"/>
            <color indexed="81"/>
            <rFont val="Tahoma"/>
            <family val="2"/>
          </rPr>
          <t>Enter the price for the selected required license. If final licensing cost is not available during the time of RFP, make sure to call out it's an estimate
note: this row is available only if customers require additional licensing to qualify for WVD</t>
        </r>
      </text>
    </comment>
    <comment ref="C27" authorId="0" shapeId="0" xr:uid="{F9093266-20DB-455E-A9EA-205A5AA1073C}">
      <text>
        <r>
          <rPr>
            <b/>
            <sz val="9"/>
            <color indexed="81"/>
            <rFont val="Tahoma"/>
            <family val="2"/>
          </rPr>
          <t>cost savings when &gt; 0; incremental cost &lt; 0; 
Note: assumed customers can eliminate their current license if they made deployment model change (i.e. client-based to server-based, server-based to client-based); this may not always be true, for example: if customers move from client-based to server-based, they may still need M365 license for Office 365, even through WVD doesn't require</t>
        </r>
      </text>
    </comment>
    <comment ref="C28" authorId="0" shapeId="0" xr:uid="{F8FDAA1D-C25B-40FF-B7CD-9109B67BB139}">
      <text>
        <r>
          <rPr>
            <b/>
            <sz val="9"/>
            <color indexed="81"/>
            <rFont val="Tahoma"/>
            <family val="2"/>
          </rPr>
          <t xml:space="preserve">cost savings when &gt; 0; incremental cost &lt; 0; </t>
        </r>
      </text>
    </comment>
    <comment ref="C34" authorId="0" shapeId="0" xr:uid="{1B3B204F-8037-414E-8845-80350ED9D180}">
      <text>
        <r>
          <rPr>
            <b/>
            <sz val="9"/>
            <color indexed="81"/>
            <rFont val="Tahoma"/>
            <family val="2"/>
          </rPr>
          <t>WVD doesn't require WS license, so always $0</t>
        </r>
      </text>
    </comment>
    <comment ref="C40" authorId="0" shapeId="0" xr:uid="{7D658E44-4E8B-457C-A525-948076722446}">
      <text>
        <r>
          <rPr>
            <b/>
            <sz val="9"/>
            <color indexed="81"/>
            <rFont val="Tahoma"/>
            <family val="2"/>
          </rPr>
          <t xml:space="preserve">cost savings when &gt; 0; incremental cost &lt; 0; </t>
        </r>
      </text>
    </comment>
    <comment ref="C46" authorId="0" shapeId="0" xr:uid="{DAA7D653-2D58-4B24-817B-857756FFC91B}">
      <text>
        <r>
          <rPr>
            <b/>
            <sz val="9"/>
            <color indexed="81"/>
            <rFont val="Tahoma"/>
            <family val="2"/>
          </rPr>
          <t>WVD doesn't require WS license, so always $0</t>
        </r>
      </text>
    </comment>
    <comment ref="C52" authorId="0" shapeId="0" xr:uid="{FDD5E5D8-2289-45D8-A932-2C7D5E3E1D92}">
      <text>
        <r>
          <rPr>
            <b/>
            <sz val="9"/>
            <color indexed="81"/>
            <rFont val="Tahoma"/>
            <family val="2"/>
          </rPr>
          <t xml:space="preserve">cost savings when &gt; 0; incremental cost &lt; 0;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Hua</author>
  </authors>
  <commentList>
    <comment ref="C15" authorId="0" shapeId="0" xr:uid="{EC9D2CE7-B3FC-45C6-ACDB-22F69D1A2BA3}">
      <text>
        <r>
          <rPr>
            <b/>
            <sz val="9"/>
            <color indexed="81"/>
            <rFont val="Tahoma"/>
            <family val="2"/>
          </rPr>
          <t>Choose what management plane the customer would be using after moving to WVD</t>
        </r>
      </text>
    </comment>
    <comment ref="C16" authorId="0" shapeId="0" xr:uid="{A03EEE02-FCAF-414B-846A-1D0A28FF185E}">
      <text>
        <r>
          <rPr>
            <b/>
            <sz val="9"/>
            <color indexed="81"/>
            <rFont val="Tahoma"/>
            <family val="2"/>
          </rPr>
          <t>Enter pre-discount price. The cell will gray out if customers choose to use WVD Native, as WVD native management plane is free</t>
        </r>
      </text>
    </comment>
    <comment ref="C19" authorId="0" shapeId="0" xr:uid="{A9308A40-F6AC-4298-BF47-0C2D5F6F5145}">
      <text>
        <r>
          <rPr>
            <b/>
            <sz val="9"/>
            <color indexed="81"/>
            <rFont val="Tahoma"/>
            <family val="2"/>
          </rPr>
          <t>No additional infra cost for WVD management services, but management infrastructure is needed when using Citrix or VMware solution</t>
        </r>
      </text>
    </comment>
    <comment ref="C21" authorId="0" shapeId="0" xr:uid="{25CC877B-3ED6-4ECB-AB02-E98438695203}">
      <text>
        <r>
          <rPr>
            <b/>
            <sz val="9"/>
            <color indexed="81"/>
            <rFont val="Tahoma"/>
            <family val="2"/>
          </rPr>
          <t xml:space="preserve">cost savings when &gt; 0; incremental cost &lt; 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Hua</author>
  </authors>
  <commentList>
    <comment ref="C9" authorId="0" shapeId="0" xr:uid="{286F804D-2659-481A-AB3F-57E7C53B81B8}">
      <text>
        <r>
          <rPr>
            <b/>
            <sz val="9"/>
            <color indexed="81"/>
            <rFont val="Tahoma"/>
            <family val="2"/>
          </rPr>
          <t>note: Azure Region (for infrastructure) is different from WVD Service Region; if customers do not put them in the same region, they have to deal with costs of data transfer, networking, etc. between regions</t>
        </r>
        <r>
          <rPr>
            <sz val="9"/>
            <color indexed="81"/>
            <rFont val="Tahoma"/>
            <family val="2"/>
          </rPr>
          <t xml:space="preserve">
</t>
        </r>
      </text>
    </comment>
    <comment ref="K20" authorId="0" shapeId="0" xr:uid="{F614AF01-4649-47D6-983D-2348AACE8513}">
      <text>
        <r>
          <rPr>
            <b/>
            <sz val="9"/>
            <color indexed="81"/>
            <rFont val="Tahoma"/>
            <family val="2"/>
          </rPr>
          <t>Cheaper to choose 3-year RI if beyond this threshold, otherwise pay-as-you-go</t>
        </r>
      </text>
    </comment>
    <comment ref="K21" authorId="0" shapeId="0" xr:uid="{82F80D35-9F39-4C8F-BB2F-BB2492D23F8D}">
      <text>
        <r>
          <rPr>
            <b/>
            <sz val="9"/>
            <color indexed="81"/>
            <rFont val="Tahoma"/>
            <family val="2"/>
          </rPr>
          <t>N+x VM redundancy</t>
        </r>
      </text>
    </comment>
    <comment ref="C28" authorId="0" shapeId="0" xr:uid="{13494562-1BDA-4542-80EB-9FBCCB7CCC1F}">
      <text>
        <r>
          <rPr>
            <b/>
            <sz val="9"/>
            <color indexed="81"/>
            <rFont val="Tahoma"/>
            <family val="2"/>
          </rPr>
          <t>if multi-session, default to pooled; if single-session &amp; require local admin, default to personal; otherwise pooled</t>
        </r>
      </text>
    </comment>
    <comment ref="C31" authorId="0" shapeId="0" xr:uid="{844A3CEA-3BDA-4121-931F-16821C65803C}">
      <text>
        <r>
          <rPr>
            <b/>
            <sz val="9"/>
            <color indexed="81"/>
            <rFont val="Tahoma"/>
            <family val="2"/>
          </rPr>
          <t>Refer to [Default Values (MSFT Guidance)] for default values for multi-session
Not applicable to single-session because it's always 1 user per VM</t>
        </r>
      </text>
    </comment>
    <comment ref="C32" authorId="0" shapeId="0" xr:uid="{572C9786-AA7E-481C-893C-474EBE88E344}">
      <text>
        <r>
          <rPr>
            <b/>
            <sz val="9"/>
            <color indexed="81"/>
            <rFont val="Tahoma"/>
            <family val="2"/>
          </rPr>
          <t>Override default value
Note: Keep the cell empty if no override is needed</t>
        </r>
      </text>
    </comment>
    <comment ref="C35" authorId="0" shapeId="0" xr:uid="{ACB3BFC5-1136-4967-B05E-A0776CEB8D4F}">
      <text>
        <r>
          <rPr>
            <b/>
            <sz val="9"/>
            <color indexed="81"/>
            <rFont val="Tahoma"/>
            <family val="2"/>
          </rPr>
          <t>Refer to [Default Values (MSFT Guidance)] for default values</t>
        </r>
      </text>
    </comment>
    <comment ref="C36" authorId="0" shapeId="0" xr:uid="{2C96CA4B-E04F-47D2-BAF8-0D30AB91739E}">
      <text>
        <r>
          <rPr>
            <b/>
            <sz val="9"/>
            <color indexed="81"/>
            <rFont val="Tahoma"/>
            <family val="2"/>
          </rPr>
          <t>Override default value
Note: Keep the cell empty if no override is needed</t>
        </r>
      </text>
    </comment>
    <comment ref="C38" authorId="0" shapeId="0" xr:uid="{E69A2367-CFA4-4A8A-8FDC-EE7D8D7355B4}">
      <text>
        <r>
          <rPr>
            <b/>
            <sz val="9"/>
            <color indexed="81"/>
            <rFont val="Tahoma"/>
            <family val="2"/>
          </rPr>
          <t>Customers always get WVD VM session host at Linux compute rate regardless of OS</t>
        </r>
        <r>
          <rPr>
            <sz val="9"/>
            <color indexed="81"/>
            <rFont val="Tahoma"/>
            <family val="2"/>
          </rPr>
          <t xml:space="preserve">
</t>
        </r>
      </text>
    </comment>
    <comment ref="C41" authorId="0" shapeId="0" xr:uid="{C91BC20D-8D19-435D-B08E-B500451AFA9E}">
      <text>
        <r>
          <rPr>
            <b/>
            <sz val="9"/>
            <color indexed="81"/>
            <rFont val="Tahoma"/>
            <family val="2"/>
          </rPr>
          <t>logic: if work hours / month &gt; threshold hours, then use 3-year RI; otherwise pay-as-you-go
0: Pay-as-you-go
1: 1-year RI
3: 3-year RI</t>
        </r>
      </text>
    </comment>
    <comment ref="C42" authorId="0" shapeId="0" xr:uid="{CB34605E-7110-4370-9201-4C3B213006BC}">
      <text>
        <r>
          <rPr>
            <b/>
            <sz val="9"/>
            <color indexed="81"/>
            <rFont val="Tahoma"/>
            <family val="2"/>
          </rPr>
          <t>Override default value
0: Pay-as-you-go
1: 1-year RI
3: 3-year RI
Note: Keep the cell empty if no override is needed</t>
        </r>
      </text>
    </comment>
    <comment ref="C57" authorId="0" shapeId="0" xr:uid="{EF0CBDA4-70FF-4876-8808-B29AC47F06CF}">
      <text>
        <r>
          <rPr>
            <b/>
            <sz val="9"/>
            <color indexed="81"/>
            <rFont val="Tahoma"/>
            <family val="2"/>
          </rPr>
          <t>Override default value
Note: Keep the cell empty if no override is needed</t>
        </r>
      </text>
    </comment>
    <comment ref="C61" authorId="0" shapeId="0" xr:uid="{3DF2C541-4048-4F0A-AB01-69C649F3FF2D}">
      <text>
        <r>
          <rPr>
            <b/>
            <sz val="9"/>
            <color indexed="81"/>
            <rFont val="Tahoma"/>
            <family val="2"/>
          </rPr>
          <t>Override default value
standard = standard hdd
ssd = standard ssd
premium = premium ssd
Note: Keep the cell empty if no override is needed</t>
        </r>
      </text>
    </comment>
    <comment ref="C73" authorId="0" shapeId="0" xr:uid="{D5F19353-C86C-4820-90B6-E8D1884CBA8B}">
      <text>
        <r>
          <rPr>
            <b/>
            <sz val="9"/>
            <color indexed="81"/>
            <rFont val="Tahoma"/>
            <family val="2"/>
          </rPr>
          <t>Refer to [Default Values (MSFT Guidance)] for default values</t>
        </r>
        <r>
          <rPr>
            <sz val="9"/>
            <color indexed="81"/>
            <rFont val="Tahoma"/>
            <family val="2"/>
          </rPr>
          <t xml:space="preserve">
</t>
        </r>
      </text>
    </comment>
    <comment ref="C74" authorId="0" shapeId="0" xr:uid="{74EA0E8F-10A9-431D-B7ED-63C69DE1745E}">
      <text>
        <r>
          <rPr>
            <b/>
            <sz val="9"/>
            <color indexed="81"/>
            <rFont val="Tahoma"/>
            <family val="2"/>
          </rPr>
          <t>Refer to [Default Values (MSFT Guidance)] for default values</t>
        </r>
        <r>
          <rPr>
            <sz val="9"/>
            <color indexed="81"/>
            <rFont val="Tahoma"/>
            <family val="2"/>
          </rPr>
          <t xml:space="preserve">
</t>
        </r>
      </text>
    </comment>
    <comment ref="C75" authorId="0" shapeId="0" xr:uid="{070218E9-EEB3-4051-A77D-B535A5479E27}">
      <text>
        <r>
          <rPr>
            <b/>
            <sz val="9"/>
            <color indexed="81"/>
            <rFont val="Tahoma"/>
            <family val="2"/>
          </rPr>
          <t>standard = standard hdd
ssd = standard ssd
premium = premium ssd</t>
        </r>
        <r>
          <rPr>
            <sz val="9"/>
            <color indexed="81"/>
            <rFont val="Tahoma"/>
            <family val="2"/>
          </rPr>
          <t xml:space="preserve">
</t>
        </r>
      </text>
    </comment>
    <comment ref="C92" authorId="0" shapeId="0" xr:uid="{9C1D369D-AE40-4E60-BF8C-CA62EF56D7DF}">
      <text>
        <r>
          <rPr>
            <b/>
            <sz val="9"/>
            <color indexed="81"/>
            <rFont val="Tahoma"/>
            <family val="2"/>
          </rPr>
          <t>Override default value
Note: Keep the cell empty if no override is needed</t>
        </r>
      </text>
    </comment>
    <comment ref="C97" authorId="0" shapeId="0" xr:uid="{2D27A827-8343-4B94-9156-471D55BE72FF}">
      <text>
        <r>
          <rPr>
            <b/>
            <sz val="9"/>
            <color indexed="81"/>
            <rFont val="Tahoma"/>
            <family val="2"/>
          </rPr>
          <t>Choose from two storage options:
- File Server
- Azure NetApp Files
Once one option is chosen, the entry section for the other option will be grayed out</t>
        </r>
        <r>
          <rPr>
            <sz val="9"/>
            <color indexed="81"/>
            <rFont val="Tahoma"/>
            <family val="2"/>
          </rPr>
          <t xml:space="preserve">
</t>
        </r>
      </text>
    </comment>
    <comment ref="C98" authorId="0" shapeId="0" xr:uid="{505D3FD5-EF17-4731-9012-16A3BDA464BA}">
      <text>
        <r>
          <rPr>
            <b/>
            <sz val="9"/>
            <color indexed="81"/>
            <rFont val="Tahoma"/>
            <family val="2"/>
          </rPr>
          <t>Choose from two storage options:
- File Server
- Azure NetApp Files
Once one option is chosen, the entry section for the other option will be grayed out</t>
        </r>
        <r>
          <rPr>
            <sz val="9"/>
            <color indexed="81"/>
            <rFont val="Tahoma"/>
            <family val="2"/>
          </rPr>
          <t xml:space="preserve">
</t>
        </r>
      </text>
    </comment>
    <comment ref="C102" authorId="0" shapeId="0" xr:uid="{C435BBCC-CA49-4557-B728-B825A73146D8}">
      <text>
        <r>
          <rPr>
            <b/>
            <sz val="9"/>
            <color indexed="81"/>
            <rFont val="Tahoma"/>
            <family val="2"/>
          </rPr>
          <t>Choose from two pricing options:
- Hour
- Month</t>
        </r>
        <r>
          <rPr>
            <sz val="9"/>
            <color indexed="81"/>
            <rFont val="Tahoma"/>
            <family val="2"/>
          </rPr>
          <t xml:space="preserve">
</t>
        </r>
      </text>
    </comment>
    <comment ref="C103" authorId="0" shapeId="0" xr:uid="{C8DC27F6-E378-4D73-B571-245769B19B59}">
      <text>
        <r>
          <rPr>
            <b/>
            <sz val="9"/>
            <color indexed="81"/>
            <rFont val="Tahoma"/>
            <family val="2"/>
          </rPr>
          <t>Only valid if Hour is chosen for pricing option</t>
        </r>
      </text>
    </comment>
    <comment ref="C105" authorId="0" shapeId="0" xr:uid="{1524C751-D95B-4E49-8629-3330C28EF2FF}">
      <text>
        <r>
          <rPr>
            <b/>
            <sz val="9"/>
            <color indexed="81"/>
            <rFont val="Tahoma"/>
            <family val="2"/>
          </rPr>
          <t>Override default value
Note: Keep the cell empty if no override is needed</t>
        </r>
        <r>
          <rPr>
            <sz val="9"/>
            <color indexed="81"/>
            <rFont val="Tahoma"/>
            <family val="2"/>
          </rPr>
          <t xml:space="preserve">
</t>
        </r>
      </text>
    </comment>
    <comment ref="C107" authorId="0" shapeId="0" xr:uid="{EAE05CF3-B707-4FA4-A5D9-F3961FB6885F}">
      <text>
        <r>
          <rPr>
            <b/>
            <sz val="9"/>
            <color indexed="81"/>
            <rFont val="Tahoma"/>
            <family val="2"/>
          </rPr>
          <t>Lookup the price at https://azure.microsoft.com/en-us/pricing/details/netapp/and enter the price in the cell</t>
        </r>
        <r>
          <rPr>
            <sz val="9"/>
            <color indexed="81"/>
            <rFont val="Tahoma"/>
            <family val="2"/>
          </rPr>
          <t xml:space="preserve">
</t>
        </r>
      </text>
    </comment>
    <comment ref="C113" authorId="0" shapeId="0" xr:uid="{BCB1176C-7E15-4D41-B377-6D8318C377D0}">
      <text>
        <r>
          <rPr>
            <b/>
            <sz val="9"/>
            <color indexed="81"/>
            <rFont val="Tahoma"/>
            <family val="2"/>
          </rPr>
          <t>Override default value
Note: Keep the cell empty if no override is needed</t>
        </r>
      </text>
    </comment>
    <comment ref="C115" authorId="0" shapeId="0" xr:uid="{4237EBFF-E5B7-4794-98C4-EEF1B80D6CA5}">
      <text>
        <r>
          <rPr>
            <b/>
            <sz val="9"/>
            <color indexed="81"/>
            <rFont val="Tahoma"/>
            <family val="2"/>
          </rPr>
          <t>standard = standard hdd
ssd = standard ssd
premium = premium ssd</t>
        </r>
      </text>
    </comment>
    <comment ref="C116" authorId="0" shapeId="0" xr:uid="{A6B5CC7B-D7A3-4F6A-BAEF-65492BF87407}">
      <text>
        <r>
          <rPr>
            <b/>
            <sz val="9"/>
            <color indexed="81"/>
            <rFont val="Tahoma"/>
            <family val="2"/>
          </rPr>
          <t xml:space="preserve">Override default value
standard = standard hdd
ssd = standard ssd
premium = premium ssd
Note: Keep the cell empty if no override is needed
</t>
        </r>
      </text>
    </comment>
    <comment ref="C131" authorId="0" shapeId="0" xr:uid="{5FD4421A-1BFA-4EA1-AEA6-F8084395CD55}">
      <text>
        <r>
          <rPr>
            <b/>
            <sz val="9"/>
            <color indexed="81"/>
            <rFont val="Tahoma"/>
            <family val="2"/>
          </rPr>
          <t>Enter # of additional VMs required; keep empty if no additional VM is required</t>
        </r>
      </text>
    </comment>
    <comment ref="C133" authorId="0" shapeId="0" xr:uid="{F73736FB-7078-499E-9709-AF6C2E5C737B}">
      <text>
        <r>
          <rPr>
            <b/>
            <sz val="9"/>
            <color indexed="81"/>
            <rFont val="Tahoma"/>
            <family val="2"/>
          </rPr>
          <t>Input hours only if you choose pay-as-you-go billing</t>
        </r>
        <r>
          <rPr>
            <sz val="9"/>
            <color indexed="81"/>
            <rFont val="Tahoma"/>
            <family val="2"/>
          </rPr>
          <t xml:space="preserve">
</t>
        </r>
      </text>
    </comment>
    <comment ref="C139" authorId="0" shapeId="0" xr:uid="{C2474764-D6ED-40F8-9359-BFA4C2445CD5}">
      <text>
        <r>
          <rPr>
            <b/>
            <sz val="9"/>
            <color indexed="81"/>
            <rFont val="Tahoma"/>
            <family val="2"/>
          </rPr>
          <t>Override default value
standard = standard hdd
ssd = standard ssd
premium = premium ssd
Note: Keep the cell empty if no override is needed</t>
        </r>
      </text>
    </comment>
    <comment ref="C143" authorId="0" shapeId="0" xr:uid="{8B216FB5-B7BD-4938-BB09-B1F4A7878A4D}">
      <text>
        <r>
          <rPr>
            <b/>
            <sz val="9"/>
            <color indexed="81"/>
            <rFont val="Tahoma"/>
            <family val="2"/>
          </rPr>
          <t>Override default value
standard = standard hdd
ssd = standard ssd
premium = premium ssd
Note: Keep the cell empty if no override is needed</t>
        </r>
      </text>
    </comment>
    <comment ref="C165" authorId="0" shapeId="0" xr:uid="{01B8559C-F2CD-47CD-BEF4-66C46978DD37}">
      <text>
        <r>
          <rPr>
            <b/>
            <sz val="9"/>
            <color indexed="81"/>
            <rFont val="Tahoma"/>
            <family val="2"/>
          </rPr>
          <t>Override default value
Note: Keep the cell empty if no override is needed</t>
        </r>
        <r>
          <rPr>
            <sz val="9"/>
            <color indexed="81"/>
            <rFont val="Tahoma"/>
            <family val="2"/>
          </rPr>
          <t xml:space="preserve">
</t>
        </r>
      </text>
    </comment>
    <comment ref="C169" authorId="0" shapeId="0" xr:uid="{44C8D54F-A6F2-4DEB-A756-374C11443EA6}">
      <text>
        <r>
          <rPr>
            <b/>
            <sz val="9"/>
            <color indexed="81"/>
            <rFont val="Tahoma"/>
            <family val="2"/>
          </rPr>
          <t>Enter network price from Azure pricing calculator based on source and destination region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Hua</author>
  </authors>
  <commentList>
    <comment ref="C60" authorId="0" shapeId="0" xr:uid="{9A229E84-B65A-4976-9D9D-862BF2F31FF4}">
      <text>
        <r>
          <rPr>
            <b/>
            <sz val="9"/>
            <color indexed="81"/>
            <rFont val="Tahoma"/>
            <family val="2"/>
          </rPr>
          <t>0: Pay-as-you-go
1: 1-year RI
3: 3-year RI</t>
        </r>
        <r>
          <rPr>
            <sz val="9"/>
            <color indexed="81"/>
            <rFont val="Tahoma"/>
            <family val="2"/>
          </rPr>
          <t xml:space="preserve">
</t>
        </r>
      </text>
    </comment>
    <comment ref="C104" authorId="0" shapeId="0" xr:uid="{3B0EC64F-00D2-4E77-8A38-348661061E29}">
      <text>
        <r>
          <rPr>
            <b/>
            <sz val="9"/>
            <color indexed="81"/>
            <rFont val="Tahoma"/>
            <family val="2"/>
          </rPr>
          <t>customer realizes savings if delta &gt;0; customer incur incremental cost if delta &lt;0</t>
        </r>
      </text>
    </comment>
    <comment ref="C119" authorId="0" shapeId="0" xr:uid="{55B6DB0D-D9F5-4666-AC83-ADA9E6BA4EFB}">
      <text>
        <r>
          <rPr>
            <b/>
            <sz val="9"/>
            <color indexed="81"/>
            <rFont val="Tahoma"/>
            <family val="2"/>
          </rPr>
          <t>customer realizes savings if % &gt;0; customer incur incremental cost if % &lt;0</t>
        </r>
      </text>
    </comment>
  </commentList>
</comments>
</file>

<file path=xl/sharedStrings.xml><?xml version="1.0" encoding="utf-8"?>
<sst xmlns="http://schemas.openxmlformats.org/spreadsheetml/2006/main" count="1194" uniqueCount="593">
  <si>
    <t>Azure Region</t>
  </si>
  <si>
    <t>Medium</t>
  </si>
  <si>
    <t>Description</t>
  </si>
  <si>
    <t>Storage</t>
  </si>
  <si>
    <t>Citrix</t>
  </si>
  <si>
    <t>Opportunity Profile</t>
  </si>
  <si>
    <t>VDA</t>
  </si>
  <si>
    <t>OS</t>
  </si>
  <si>
    <t>Virtualized/Physical</t>
  </si>
  <si>
    <t>HOW TO</t>
  </si>
  <si>
    <t>Client-based</t>
  </si>
  <si>
    <t>VM</t>
  </si>
  <si>
    <t>Currency</t>
  </si>
  <si>
    <t>USD</t>
  </si>
  <si>
    <t>australia-east</t>
  </si>
  <si>
    <t>AUD</t>
  </si>
  <si>
    <t>Profile Storage</t>
  </si>
  <si>
    <t>Total profile storage required (GB)</t>
  </si>
  <si>
    <t>Regions</t>
  </si>
  <si>
    <t>CurrencyID</t>
  </si>
  <si>
    <t>asia-pacific-east</t>
  </si>
  <si>
    <t>New Zealand Dollars</t>
  </si>
  <si>
    <t>NZD</t>
  </si>
  <si>
    <t>asia-pacific-southeast</t>
  </si>
  <si>
    <t>Australian Dollars</t>
  </si>
  <si>
    <t>Commands (Enter without the outer quotes)</t>
  </si>
  <si>
    <t>australia-central</t>
  </si>
  <si>
    <t>Euros</t>
  </si>
  <si>
    <t>EUR</t>
  </si>
  <si>
    <t>australia-central-2</t>
  </si>
  <si>
    <t>Sterling</t>
  </si>
  <si>
    <t>GBP</t>
  </si>
  <si>
    <t>"=getVM(&lt;minCores&gt;;&lt;minRam&gt;;&lt;Reserved Instance Years&gt;;&lt;Azure Region&gt;;&lt;CurrencyID&gt;;[&lt;Exclude Keywords seperated by ; &gt;;&lt;Include Keywords seperated by ;])"</t>
  </si>
  <si>
    <t>"=getVMPriceHour(&lt;VM Name&gt;;&lt;Reserved instance Years&gt;;&lt;Azure Reguion&gt;;&lt;CurrencyID&gt;)"</t>
  </si>
  <si>
    <t>australia-southeast</t>
  </si>
  <si>
    <t>HKD</t>
  </si>
  <si>
    <t>"=getVMData(&lt;VM Name&gt;;&lt;Azure Region&gt;;&lt;CurrencyID&gt;;&lt;VM Data Keyword&gt;)"</t>
  </si>
  <si>
    <t>brazil-south</t>
  </si>
  <si>
    <t>Canadian Dollar</t>
  </si>
  <si>
    <t>CAD</t>
  </si>
  <si>
    <t>canada-central</t>
  </si>
  <si>
    <t>Japanese Yen</t>
  </si>
  <si>
    <t>JPY</t>
  </si>
  <si>
    <t>VM Data Keybords</t>
  </si>
  <si>
    <t>canada-east</t>
  </si>
  <si>
    <t>Danish Krone</t>
  </si>
  <si>
    <t>DKK</t>
  </si>
  <si>
    <t>cores</t>
  </si>
  <si>
    <t>Number of Cores</t>
  </si>
  <si>
    <t>central-india</t>
  </si>
  <si>
    <t>ram</t>
  </si>
  <si>
    <t>Memory in GB</t>
  </si>
  <si>
    <t>south-india</t>
  </si>
  <si>
    <t>diskSize</t>
  </si>
  <si>
    <t>Size of the temp drive in GB</t>
  </si>
  <si>
    <t>west-india</t>
  </si>
  <si>
    <t>isVcpu</t>
  </si>
  <si>
    <t>Indicates if a VM has vCPU</t>
  </si>
  <si>
    <t>europe-north</t>
  </si>
  <si>
    <t>europe-west</t>
  </si>
  <si>
    <t>RI Years</t>
  </si>
  <si>
    <t>france-central</t>
  </si>
  <si>
    <t>france-south</t>
  </si>
  <si>
    <t>Managed Disks</t>
  </si>
  <si>
    <t>germany-central</t>
  </si>
  <si>
    <t>"=getManagedDisk(&lt;Minimum Size in GB&gt;;&lt;Azure Region&gt;;&lt;Currency ID&gt;)"</t>
  </si>
  <si>
    <t>germany-northeast</t>
  </si>
  <si>
    <t>"=getManagedDiskPriceMonth(&lt;Managed Disk Name&gt;;&lt;Azure Region&gt;;&lt;Currency ID&gt;)"</t>
  </si>
  <si>
    <t>japan-east</t>
  </si>
  <si>
    <t>"=getMDiskData(&lt;Managed Disk Name&gt;;&lt;Azure Region&gt;;&lt;Currency ID&gt;;&lt;mDisk Data Keyword&gt;)"</t>
  </si>
  <si>
    <t>japan-west</t>
  </si>
  <si>
    <t>korea-central</t>
  </si>
  <si>
    <t>Managed Disk Data Keywords</t>
  </si>
  <si>
    <t>korea-south</t>
  </si>
  <si>
    <t>size</t>
  </si>
  <si>
    <t>Size of the disk in GB</t>
  </si>
  <si>
    <t>united-kingdom-south</t>
  </si>
  <si>
    <t>speed</t>
  </si>
  <si>
    <t>Speed of the disk in mb/s (only premium disks)</t>
  </si>
  <si>
    <t>united-kingdom-west</t>
  </si>
  <si>
    <t>iops</t>
  </si>
  <si>
    <t>Provisioned IOPS (Premium only)</t>
  </si>
  <si>
    <t>us-central</t>
  </si>
  <si>
    <t>transactionPrice</t>
  </si>
  <si>
    <t>Price of transactions (check unit in the calculator</t>
  </si>
  <si>
    <t>us-east</t>
  </si>
  <si>
    <t>snapshotPrice</t>
  </si>
  <si>
    <t>Price pr snapshot</t>
  </si>
  <si>
    <t>us-east-2</t>
  </si>
  <si>
    <t>snapshotPriceLrs</t>
  </si>
  <si>
    <t>Price pr snapshot LRS</t>
  </si>
  <si>
    <t>us-north-central</t>
  </si>
  <si>
    <t>snapshotPriceZrs</t>
  </si>
  <si>
    <t>Price pr snapshot ZRS</t>
  </si>
  <si>
    <t>us-south-central</t>
  </si>
  <si>
    <t>us-west-central</t>
  </si>
  <si>
    <t>Preview Prices</t>
  </si>
  <si>
    <t>us-west</t>
  </si>
  <si>
    <t>us-west-2</t>
  </si>
  <si>
    <t>usgov-arizona</t>
  </si>
  <si>
    <t>usgov-texas</t>
  </si>
  <si>
    <t>usgov-virginia</t>
  </si>
  <si>
    <t>In-region backup</t>
  </si>
  <si>
    <t>Out-of-region DR</t>
  </si>
  <si>
    <t xml:space="preserve">Site-to-site VPN	</t>
  </si>
  <si>
    <t>Hybrid AD</t>
  </si>
  <si>
    <t>peak concurrency</t>
  </si>
  <si>
    <t>off-peak concurrency</t>
  </si>
  <si>
    <t>work hours / day</t>
  </si>
  <si>
    <t>work days / week</t>
  </si>
  <si>
    <t>work hours / month</t>
  </si>
  <si>
    <t>non-work hours / month</t>
  </si>
  <si>
    <t>VM RAM (GB)</t>
  </si>
  <si>
    <t>Disk Type</t>
  </si>
  <si>
    <t>premium</t>
  </si>
  <si>
    <t>ssd</t>
  </si>
  <si>
    <t>standard</t>
  </si>
  <si>
    <t>threshold work hours / month</t>
  </si>
  <si>
    <t># concurrent users</t>
  </si>
  <si>
    <t># off-peak users</t>
  </si>
  <si>
    <t># VMs during peak hours</t>
  </si>
  <si>
    <t># VMs during off-peak hours</t>
  </si>
  <si>
    <t>Others</t>
  </si>
  <si>
    <t>Other Infrastructure</t>
  </si>
  <si>
    <t>Deployment Type</t>
  </si>
  <si>
    <t># users per VM</t>
  </si>
  <si>
    <t>User Group 1</t>
  </si>
  <si>
    <t>From</t>
  </si>
  <si>
    <t>To</t>
  </si>
  <si>
    <t>WVD</t>
  </si>
  <si>
    <t>1. Opportunity Profile</t>
  </si>
  <si>
    <t>VMware</t>
  </si>
  <si>
    <t>User Group 2</t>
  </si>
  <si>
    <t>User Group 3</t>
  </si>
  <si>
    <t>User Group 4</t>
  </si>
  <si>
    <t>User Group 5</t>
  </si>
  <si>
    <t>WVD Management Cost</t>
  </si>
  <si>
    <t>Cost Estimate</t>
  </si>
  <si>
    <t>Global Settings (apply to all user groups)</t>
  </si>
  <si>
    <t>peak hours per VM</t>
  </si>
  <si>
    <t>off-peak hours per VM</t>
  </si>
  <si>
    <t>Source vNet Region</t>
  </si>
  <si>
    <t>Destination vNet Region</t>
  </si>
  <si>
    <t>Type</t>
  </si>
  <si>
    <t>Network Type</t>
  </si>
  <si>
    <t>Same Region</t>
  </si>
  <si>
    <t>Across Region</t>
  </si>
  <si>
    <t>Network egress (total GB)</t>
  </si>
  <si>
    <t>Network egress (GB per user per month)</t>
  </si>
  <si>
    <t>Overview</t>
  </si>
  <si>
    <t>Tool Requirements</t>
  </si>
  <si>
    <t>Model Structure</t>
  </si>
  <si>
    <t>3. WVD Management Cost</t>
  </si>
  <si>
    <t>4. Azure Infrastructure Cost</t>
  </si>
  <si>
    <t>Reference</t>
  </si>
  <si>
    <t>Configure WVD Infrastructure including VM, Storage, and Network and calculate associated costs</t>
  </si>
  <si>
    <t>Legend</t>
  </si>
  <si>
    <t>Local value lookup</t>
  </si>
  <si>
    <t>Pre-configured value</t>
  </si>
  <si>
    <t>Express Route</t>
  </si>
  <si>
    <t>GPU</t>
  </si>
  <si>
    <t>VM Type</t>
  </si>
  <si>
    <t>General Purpose</t>
  </si>
  <si>
    <t>High Performance</t>
  </si>
  <si>
    <t>WVD Native</t>
  </si>
  <si>
    <t>Windows Licensing Tiers</t>
  </si>
  <si>
    <t>RDS CAL w/ SA</t>
  </si>
  <si>
    <t>Windows Server License</t>
  </si>
  <si>
    <t>Client License Type</t>
  </si>
  <si>
    <t>M365 E3 or above</t>
  </si>
  <si>
    <t>Windows E3 or above</t>
  </si>
  <si>
    <t>Deployment Model</t>
  </si>
  <si>
    <t>M365 below E3</t>
  </si>
  <si>
    <t>Windows below E3</t>
  </si>
  <si>
    <t>Server-based</t>
  </si>
  <si>
    <t>Deployment Model (to)</t>
  </si>
  <si>
    <t>WVD Client License</t>
  </si>
  <si>
    <t>License requirements for WVD deployment</t>
  </si>
  <si>
    <t>M365 E3/A3</t>
  </si>
  <si>
    <t>M365 E5/A5</t>
  </si>
  <si>
    <t>M365 F1</t>
  </si>
  <si>
    <t>M365 Business</t>
  </si>
  <si>
    <t>Windows 10 Enterprise E3/E5</t>
  </si>
  <si>
    <t>Windows 10 Enterprise A3/A5</t>
  </si>
  <si>
    <t>Windows 10 VDA</t>
  </si>
  <si>
    <t>Current position (client-based)</t>
  </si>
  <si>
    <t>Current position (server-based)</t>
  </si>
  <si>
    <t>Windows 7</t>
  </si>
  <si>
    <t>Windows 10</t>
  </si>
  <si>
    <t>Windows Server</t>
  </si>
  <si>
    <t>One-time Cost</t>
  </si>
  <si>
    <t>Running Cost</t>
  </si>
  <si>
    <t>Assessment</t>
  </si>
  <si>
    <t>Other Infra</t>
  </si>
  <si>
    <t>Systrack</t>
  </si>
  <si>
    <t>Not Virtualized</t>
  </si>
  <si>
    <t>Current Management Plane</t>
  </si>
  <si>
    <t>WVD Management Plane</t>
  </si>
  <si>
    <t>Management Plane (to)</t>
  </si>
  <si>
    <t>Management Plane (from)</t>
  </si>
  <si>
    <t>Multi-session</t>
  </si>
  <si>
    <t>Single-session</t>
  </si>
  <si>
    <t>Named (total) users</t>
  </si>
  <si>
    <t>Pooled/Personal</t>
  </si>
  <si>
    <t>Workload Type</t>
  </si>
  <si>
    <t>Pooled</t>
  </si>
  <si>
    <t>Personal</t>
  </si>
  <si>
    <t>Heavy</t>
  </si>
  <si>
    <t>Light</t>
  </si>
  <si>
    <t>Graphics</t>
  </si>
  <si>
    <t>Input Guidance</t>
  </si>
  <si>
    <t>OS Type</t>
  </si>
  <si>
    <t>User Type</t>
  </si>
  <si>
    <t>Heavy Graphics</t>
  </si>
  <si>
    <t>Windows Server License (to)</t>
  </si>
  <si>
    <t>Windows Server License (from)</t>
  </si>
  <si>
    <t>Current Client License</t>
  </si>
  <si>
    <t>WVD Deployment (to)</t>
  </si>
  <si>
    <t>OS (from)</t>
  </si>
  <si>
    <t>Virtulization Status</t>
  </si>
  <si>
    <t>Physical</t>
  </si>
  <si>
    <t>Virtualized - Citrix</t>
  </si>
  <si>
    <t>Virtualized - VMware</t>
  </si>
  <si>
    <t>RDS on-prem</t>
  </si>
  <si>
    <t>Client Licensing Cost Analysis</t>
  </si>
  <si>
    <t>Networking</t>
  </si>
  <si>
    <t>Windows Server Cost Analysis</t>
  </si>
  <si>
    <t>Current Citrix/VMware Cost</t>
  </si>
  <si>
    <t>Citrix Customer Type</t>
  </si>
  <si>
    <t>New</t>
  </si>
  <si>
    <t>Install Base</t>
  </si>
  <si>
    <t># VM redundancy</t>
  </si>
  <si>
    <t>D8s v3</t>
  </si>
  <si>
    <t>NV6</t>
  </si>
  <si>
    <t>Desktop Migration</t>
  </si>
  <si>
    <t>App Refactoring</t>
  </si>
  <si>
    <t>HW refresh rate</t>
  </si>
  <si>
    <t>User Type Profiles</t>
  </si>
  <si>
    <t>Note: each user group should represent a unique set of users with similar requirements, representing a subset of an overall WVD opportunity</t>
  </si>
  <si>
    <t>Current Microsoft Client License</t>
  </si>
  <si>
    <t>W10 Desktop Upgrade</t>
  </si>
  <si>
    <t>WVD License Qualification</t>
  </si>
  <si>
    <t>Qualifies for WVD Rights</t>
  </si>
  <si>
    <t>Requires add'l licensing</t>
  </si>
  <si>
    <t>Total Licensing Cost (to)</t>
  </si>
  <si>
    <t>Total Licensing Cost (from)</t>
  </si>
  <si>
    <t>Client License ($ / month)</t>
  </si>
  <si>
    <t>Windows Server License ($ / month)</t>
  </si>
  <si>
    <t>Yes</t>
  </si>
  <si>
    <t>WVD Rights Qualification</t>
  </si>
  <si>
    <t>Total Desktop Costs / Month</t>
  </si>
  <si>
    <t>Total Desktop Costs / User /Month</t>
  </si>
  <si>
    <t>DaaS Management / Month</t>
  </si>
  <si>
    <t>Cost Analysis</t>
  </si>
  <si>
    <t>Yes/No</t>
  </si>
  <si>
    <t>No</t>
  </si>
  <si>
    <t>OS Disk</t>
  </si>
  <si>
    <t>OS Disk Size</t>
  </si>
  <si>
    <t>Calculations use live lookup functions. If those functions break down, need manual input</t>
  </si>
  <si>
    <t># Disks</t>
  </si>
  <si>
    <t>IOPS per Disk</t>
  </si>
  <si>
    <t>Throughput per Disk</t>
  </si>
  <si>
    <t>Profile Disk size (GB)</t>
  </si>
  <si>
    <t>VM instance</t>
  </si>
  <si>
    <t># VMs</t>
  </si>
  <si>
    <t>DS1 v2</t>
  </si>
  <si>
    <t>Throughput per Disk (MB / second)</t>
  </si>
  <si>
    <t>WVD Opportunity</t>
  </si>
  <si>
    <t>Peak concurrency</t>
  </si>
  <si>
    <t>Off-peak concurrency</t>
  </si>
  <si>
    <t>User Requirements</t>
  </si>
  <si>
    <t>Ideal for lightweight use cases with such as data entry and call center apps.</t>
  </si>
  <si>
    <t>Ideal for basic Microsoft Office apps such as Word and Excel, as well as database apps.</t>
  </si>
  <si>
    <t>Ideal for more intensive workloads such as development or engineering.</t>
  </si>
  <si>
    <t>Ideal for graphics intensive apps such as 3D CAD and Adobe Photoshop.</t>
  </si>
  <si>
    <t>Current Infrastructure Cost</t>
  </si>
  <si>
    <t>From (Cost / Month)</t>
  </si>
  <si>
    <t>Workspace Premium Plus</t>
  </si>
  <si>
    <t>Customer Environment</t>
  </si>
  <si>
    <t>None</t>
  </si>
  <si>
    <t>Current Device Cost</t>
  </si>
  <si>
    <t>RDS in Azure</t>
  </si>
  <si>
    <t>user shouldn't change</t>
  </si>
  <si>
    <t>Mandatory User Input</t>
  </si>
  <si>
    <t>Optional User Input</t>
  </si>
  <si>
    <t>Default Values (MSFT Guidance)</t>
  </si>
  <si>
    <t>Default values for infrastructure configuration based on MSFT Guidance</t>
  </si>
  <si>
    <t>Fixed value</t>
  </si>
  <si>
    <t>Calculation / Value copy</t>
  </si>
  <si>
    <t>Calculation /Value copy</t>
  </si>
  <si>
    <t>Deployment Type (Default)</t>
  </si>
  <si>
    <t>HW refresh cost (HW/SW avg.)</t>
  </si>
  <si>
    <t>VM Instance (Default)</t>
  </si>
  <si>
    <t>VM Instance (Override)</t>
  </si>
  <si>
    <t>VM Instance (Final)</t>
  </si>
  <si>
    <t>Reserved Instance (Default)</t>
  </si>
  <si>
    <t>Reserved Instance (Override)</t>
  </si>
  <si>
    <t>Reserved Instance (Final)</t>
  </si>
  <si>
    <t>OS Disk size (GB) required (Default)</t>
  </si>
  <si>
    <t># OS Disk per VM (Default)</t>
  </si>
  <si>
    <t>OS Disk Tier (Default)</t>
  </si>
  <si>
    <t>OS Disk Tier (Override)</t>
  </si>
  <si>
    <t>OS Disk Tier (Final)</t>
  </si>
  <si>
    <t>Storage GB/user (Default)</t>
  </si>
  <si>
    <t>Storage GB/user (Override)</t>
  </si>
  <si>
    <t>Storage GB/user (Final)</t>
  </si>
  <si>
    <t>Profile Disk size (GB) required (Default)</t>
  </si>
  <si>
    <t>Profile Disk size (GB) required (Override)</t>
  </si>
  <si>
    <t>Profile Disk size (GB) required (Final)</t>
  </si>
  <si>
    <t>Profile Disk Tier (Default)</t>
  </si>
  <si>
    <t>Profile Disk Tier (Override)</t>
  </si>
  <si>
    <t>Profile Disk Tier (Final)</t>
  </si>
  <si>
    <t>Network egress (Default kbps per user)</t>
  </si>
  <si>
    <t>Network egress (Override kbps per user)</t>
  </si>
  <si>
    <t>Network egress (Final kbps per user)</t>
  </si>
  <si>
    <t>EA or Other Customer Discount</t>
  </si>
  <si>
    <t xml:space="preserve">Default figures represent Microsoft guidance </t>
  </si>
  <si>
    <t>Total Infra Costs / User</t>
  </si>
  <si>
    <t>Work hours / day</t>
  </si>
  <si>
    <t>Work days / week</t>
  </si>
  <si>
    <t>Other (requires tier upgrade)</t>
  </si>
  <si>
    <t>Reserved Instance</t>
  </si>
  <si>
    <t>hours per VM / month</t>
  </si>
  <si>
    <t>max peak work hours / month</t>
  </si>
  <si>
    <t>Virtual Network</t>
  </si>
  <si>
    <t>Important Notes:</t>
  </si>
  <si>
    <t>Live lookup functions in use</t>
  </si>
  <si>
    <t>Live lookup functions are used extensively in this sheet (highlighted in blue)</t>
  </si>
  <si>
    <t>If you got errors in those cells, follow the steps below:</t>
  </si>
  <si>
    <t>Azure Hybrid Use Benefit rights</t>
  </si>
  <si>
    <t>Available</t>
  </si>
  <si>
    <t>Not Available</t>
  </si>
  <si>
    <t>6. Cost Benefit Analysis</t>
  </si>
  <si>
    <t>price / user / month (client-based)</t>
  </si>
  <si>
    <t>price / user / month (server-based)</t>
  </si>
  <si>
    <t>price / hour per VM</t>
  </si>
  <si>
    <t>Total VM cost / month</t>
  </si>
  <si>
    <t>Total VM cost / month during off-peak hours</t>
  </si>
  <si>
    <t>Total VM cost / month during peak hours</t>
  </si>
  <si>
    <t>Cloud Service or Amortized License cost / month</t>
  </si>
  <si>
    <t>Software Maintenance cost / month</t>
  </si>
  <si>
    <t>Total cost / month</t>
  </si>
  <si>
    <t>Amortized cost / month</t>
  </si>
  <si>
    <t>price / user / month</t>
  </si>
  <si>
    <t>Total cost / month (client-based)</t>
  </si>
  <si>
    <t>Total cost / month (server-based)</t>
  </si>
  <si>
    <t>Cost / month</t>
  </si>
  <si>
    <t>Client License (cost / month)</t>
  </si>
  <si>
    <t>Windows Server License (cost / month)</t>
  </si>
  <si>
    <t>Customer Discount</t>
  </si>
  <si>
    <t>OS Disk cost per Disk</t>
  </si>
  <si>
    <t>OS Disk cost per VM</t>
  </si>
  <si>
    <t>Total OS Disk cost / month</t>
  </si>
  <si>
    <t>Cost per disk</t>
  </si>
  <si>
    <t>Total Profile Storage cost / month</t>
  </si>
  <si>
    <t>Cost per GB</t>
  </si>
  <si>
    <t>Total Network Cost / month</t>
  </si>
  <si>
    <t>Other Infrastructure (Total cost / month)</t>
  </si>
  <si>
    <t>Total Other Infrastructure cost / month</t>
  </si>
  <si>
    <t>WVD Total Infrastructure Cost (Total cost / month)</t>
  </si>
  <si>
    <t>Total Azure Infrastructure cost / month</t>
  </si>
  <si>
    <t>Azure Infrastructure cost / user / month</t>
  </si>
  <si>
    <t>Current Total Infrastructure Cost (Total cost / month)</t>
  </si>
  <si>
    <t>Total Azure Infrastructure net cost / month</t>
  </si>
  <si>
    <t>Azure Infrastructure net cost / user / month</t>
  </si>
  <si>
    <t>DaaS Management (price/yr)</t>
  </si>
  <si>
    <t>Other</t>
  </si>
  <si>
    <t>Global settings (apply to all user groups)</t>
  </si>
  <si>
    <t>Windows 10 multi-session</t>
  </si>
  <si>
    <t>Citrix Virtual Apps and Desktops Services</t>
  </si>
  <si>
    <t>$500 / user / yr</t>
  </si>
  <si>
    <t>$300 / user / yr</t>
  </si>
  <si>
    <t>Citrix Solutions (that are compatible w/ WVD)</t>
  </si>
  <si>
    <t>2 year agreement discount</t>
  </si>
  <si>
    <t>3-5 year agreement discount</t>
  </si>
  <si>
    <t>* minimum 1-year agreement; maximum 5-year agreement</t>
  </si>
  <si>
    <t>Muti-year agreement discount</t>
  </si>
  <si>
    <t>Standard Price (worldwide)</t>
  </si>
  <si>
    <t>Standard Discount (worldwide)</t>
  </si>
  <si>
    <t>Current Desktop License Cost</t>
  </si>
  <si>
    <t>Current IT Labor Cost</t>
  </si>
  <si>
    <t>Current Management Cost</t>
  </si>
  <si>
    <t>Infrastructure cost / month (for management plane)</t>
  </si>
  <si>
    <t>Amortized Device cost / month</t>
  </si>
  <si>
    <t>Amortized IT Labor cost / month</t>
  </si>
  <si>
    <t>Current Management Cost (Citrix/Vmware)</t>
  </si>
  <si>
    <t>FSLogix License</t>
  </si>
  <si>
    <t>Total Desktop Licensing Cost</t>
  </si>
  <si>
    <t>both client-based and server-based licensing info is needed to calculate licensing cost benefits</t>
  </si>
  <si>
    <t>cost / user / month (client-based)</t>
  </si>
  <si>
    <t>Citrix Pricing Reference (as of June 2019)</t>
  </si>
  <si>
    <t>Applicable License (if already WVD qualified)</t>
  </si>
  <si>
    <t>Applicable License price / user / month</t>
  </si>
  <si>
    <t>Amortized infrastructure cost / month</t>
  </si>
  <si>
    <t>Device</t>
  </si>
  <si>
    <t>IT Labor</t>
  </si>
  <si>
    <t>Desktop License</t>
  </si>
  <si>
    <t>Management (Citrix/VMware)</t>
  </si>
  <si>
    <t>Management (WVD/Citrix/VMware)</t>
  </si>
  <si>
    <t>SW Refresh</t>
  </si>
  <si>
    <t>HW Refresh</t>
  </si>
  <si>
    <t>Cost Savings (Incremental Costs)</t>
  </si>
  <si>
    <t>cost savings (incremental cost) / user / month</t>
  </si>
  <si>
    <t>Total cost savings (incremental cost) / month</t>
  </si>
  <si>
    <t>Total Cost Savings (Incremental Cost)</t>
  </si>
  <si>
    <t>Cost Savings (Incremental Cost)</t>
  </si>
  <si>
    <t>Total WVD Infra Cost / Month</t>
  </si>
  <si>
    <t>Total # users</t>
  </si>
  <si>
    <t>Total</t>
  </si>
  <si>
    <t>Total Cost Estimate</t>
  </si>
  <si>
    <t>Cost Savings (Incremental Costs) %</t>
  </si>
  <si>
    <t>License required (if not already WVD qualified)</t>
  </si>
  <si>
    <t>* make sure to have a copy of the model template as step 3 will break</t>
  </si>
  <si>
    <t>Client License</t>
  </si>
  <si>
    <t>Customer Environment / User Requirements</t>
  </si>
  <si>
    <t>Peak Concurrency</t>
  </si>
  <si>
    <t>All-up Infra Cost / Month</t>
  </si>
  <si>
    <t>Infrastructure Cost</t>
  </si>
  <si>
    <t>Simple Solution Configurator</t>
  </si>
  <si>
    <t>Comprehensive Solution Configurator</t>
  </si>
  <si>
    <t>Local Lookup</t>
  </si>
  <si>
    <r>
      <t>WVD Management Cost</t>
    </r>
    <r>
      <rPr>
        <i/>
        <sz val="11"/>
        <color theme="1"/>
        <rFont val="Segoe UI"/>
        <family val="2"/>
      </rPr>
      <t xml:space="preserve"> - this sheet tracks management plane cost using Citrix/VMware/WVD Native</t>
    </r>
  </si>
  <si>
    <r>
      <t xml:space="preserve">Get Formula Help by pressing the </t>
    </r>
    <r>
      <rPr>
        <b/>
        <i/>
        <sz val="16"/>
        <color rgb="FF0070C0"/>
        <rFont val="Segoe UI"/>
        <family val="2"/>
      </rPr>
      <t>f</t>
    </r>
    <r>
      <rPr>
        <b/>
        <i/>
        <vertAlign val="subscript"/>
        <sz val="16"/>
        <color rgb="FF0070C0"/>
        <rFont val="Segoe UI"/>
        <family val="2"/>
      </rPr>
      <t>x</t>
    </r>
  </si>
  <si>
    <t>Infrastructure</t>
  </si>
  <si>
    <t>Total Infrastructure Costs / User</t>
  </si>
  <si>
    <t>VM Instance</t>
  </si>
  <si>
    <t xml:space="preserve">Reserved Instance </t>
  </si>
  <si>
    <t>Concurrency</t>
  </si>
  <si>
    <t>Current Customer Environment</t>
  </si>
  <si>
    <t>Work Hours / Day</t>
  </si>
  <si>
    <t>Work Days / Week</t>
  </si>
  <si>
    <t>Additional VMs</t>
  </si>
  <si>
    <t>Hours per VM</t>
  </si>
  <si>
    <t># OS Disk</t>
  </si>
  <si>
    <t>Profile Storage Disk</t>
  </si>
  <si>
    <t># Profile Storage Disks</t>
  </si>
  <si>
    <t>License</t>
  </si>
  <si>
    <t>Not Required</t>
  </si>
  <si>
    <t>Management Plane</t>
  </si>
  <si>
    <t>Configuration Summary (expand on group for details)</t>
  </si>
  <si>
    <t>Make sure to call out other WVD benefits in addition to economics!</t>
  </si>
  <si>
    <t xml:space="preserve"> </t>
  </si>
  <si>
    <t># users/vCPU (only valid for multi-session) (Default)</t>
  </si>
  <si>
    <t># users/vCPU (only valid for multi-session) (Override)</t>
  </si>
  <si>
    <t># users/vCPU (only valid for multi-session) (Final)</t>
  </si>
  <si>
    <t># VM vCPUs</t>
  </si>
  <si>
    <t>Compute</t>
  </si>
  <si>
    <t>Infrastructure Cost - Compute</t>
  </si>
  <si>
    <t>Infrastructure Cost - Storage</t>
  </si>
  <si>
    <t>Note: while Microsoft Guidance provides a reasonable configuration in general, it's not a one-size-fits-all solution. User should fully understand customer requirements (e.g. through PoC) and override the value as necessary. The placeholders for overriding have been provided in [4. Infrastructure Cost] tab. User should not change the value directly in this table</t>
  </si>
  <si>
    <t>Total Infrastructure Cost</t>
  </si>
  <si>
    <t>Total Compute cost / month</t>
  </si>
  <si>
    <t>RI Description</t>
  </si>
  <si>
    <t>Pay-as-you-go</t>
  </si>
  <si>
    <t>1-year reserved</t>
  </si>
  <si>
    <t>3-year reserved</t>
  </si>
  <si>
    <t>Refer to [Default Values (MSFT Guidance)] tab for User Type definition</t>
  </si>
  <si>
    <t>Note: each user group should represent a unique set of users with different requirements, representing a subset of an overall WVD opportunity</t>
  </si>
  <si>
    <t>Pooled / Personal</t>
  </si>
  <si>
    <t>WVD (W7, W10, W10 MS, WS)</t>
  </si>
  <si>
    <t>Total Compute cost / month (Override)</t>
  </si>
  <si>
    <t>Personal / Pooled</t>
  </si>
  <si>
    <t>Other Infra cost</t>
  </si>
  <si>
    <t>Depreciation Years</t>
  </si>
  <si>
    <t>Total Infra cost</t>
  </si>
  <si>
    <t>Amortized Infra cost / month</t>
  </si>
  <si>
    <t>0. Quick Solution (Infra ONLY)</t>
  </si>
  <si>
    <t>Infrastructure Cost - Networking</t>
  </si>
  <si>
    <t>Average work hours (per user per month)</t>
  </si>
  <si>
    <t>Storage Requirements</t>
  </si>
  <si>
    <t>Storage Option</t>
  </si>
  <si>
    <t>File Server</t>
  </si>
  <si>
    <t>Azure NetApp Files</t>
  </si>
  <si>
    <t>Pricing Option</t>
  </si>
  <si>
    <t>Azure NetApp Files Pricing Option</t>
  </si>
  <si>
    <t>Month</t>
  </si>
  <si>
    <t>Hour</t>
  </si>
  <si>
    <t>Azure NetApp Files Storage Tier</t>
  </si>
  <si>
    <t>Standard</t>
  </si>
  <si>
    <t>Premium</t>
  </si>
  <si>
    <t>Ultra</t>
  </si>
  <si>
    <t>Storage Hours</t>
  </si>
  <si>
    <t>Cost / GB / (Month or Hour)</t>
  </si>
  <si>
    <t>Storage Tier (Default)</t>
  </si>
  <si>
    <t>Storage Tier (Override)</t>
  </si>
  <si>
    <t>Storage Tier (Final)</t>
  </si>
  <si>
    <t>Note: customer always gets Linux compute rate for WVD session host VM regardless of OS</t>
  </si>
  <si>
    <t>Work hours / month</t>
  </si>
  <si>
    <t>peak hours / month per VM</t>
  </si>
  <si>
    <t>note: Azure NetApp Files is not available in certain regions, check availability before choosing this option</t>
  </si>
  <si>
    <t>WVD doesn't require Windows Server license for session host, so always $0</t>
  </si>
  <si>
    <t>Cloud Service cost / user / month (pre-discount)</t>
  </si>
  <si>
    <t>Cloud Service cost / user / month (post-discount)</t>
  </si>
  <si>
    <t>To (Cost / Month) - post-customer discount</t>
  </si>
  <si>
    <t>Storage Tier</t>
  </si>
  <si>
    <t>This tab provides a brief tutorial on how to use the WVD Solution Configurator</t>
  </si>
  <si>
    <t>This configurator uses live lookup functions via xmlhttp. Macro must be enabled to ensure normal functionality.</t>
  </si>
  <si>
    <t>Capture opportunity-specific information (e.g. # users, user type, work hours) and current desktop costs.  INPUT for model</t>
  </si>
  <si>
    <t>Define WVD management requirements and calculate associated cost</t>
  </si>
  <si>
    <t>Compare customers' current cost with WVD cost</t>
  </si>
  <si>
    <t>Do NOT CHANGE</t>
  </si>
  <si>
    <t>USER INPUT</t>
  </si>
  <si>
    <t>Comments/guidance per cell</t>
  </si>
  <si>
    <t>DO NOT CHANGE</t>
  </si>
  <si>
    <r>
      <t xml:space="preserve">Quick Solution </t>
    </r>
    <r>
      <rPr>
        <i/>
        <sz val="12"/>
        <color theme="1"/>
        <rFont val="Segoe UI"/>
        <family val="2"/>
      </rPr>
      <t>- this tab serves the purpose of providing a quick estimation for infrastructure (compute + storage + networking) cost ONLY; use the comprehensive version if a more precise estimate is needed</t>
    </r>
  </si>
  <si>
    <t>2. Desktop License Cost</t>
  </si>
  <si>
    <t>Define desktop licensing requirements and calculate associated license cost</t>
  </si>
  <si>
    <t>Note: use this button only if you want to clear the contents of selected user group(s)</t>
  </si>
  <si>
    <t>2. go to Azure pricing calculator</t>
  </si>
  <si>
    <t>3. look for the corresponding info</t>
  </si>
  <si>
    <t>4. put the data back to the cell</t>
  </si>
  <si>
    <t xml:space="preserve">1. make sure you input the right configuration (e.g. VM instance name) that does exist in the selected Azure Region </t>
  </si>
  <si>
    <t>Version</t>
  </si>
  <si>
    <t>v1.0</t>
  </si>
  <si>
    <t>Change Log</t>
  </si>
  <si>
    <t>Date</t>
  </si>
  <si>
    <t>5. Service Cost</t>
  </si>
  <si>
    <t>Service</t>
  </si>
  <si>
    <t>this section is for partner/customer to customize</t>
  </si>
  <si>
    <t>Note: use this button to refresh all the calculations in the workbook</t>
  </si>
  <si>
    <t>Note: use this button to refresh all the calculation in this excel</t>
  </si>
  <si>
    <t>Last Refreshed:</t>
  </si>
  <si>
    <t>Customize and input WVD opportunity related service costs (e.g. one-time deployment cost, on-going management cost)</t>
  </si>
  <si>
    <t>Note: WVD Desktop Licensing and Management cost will not be immediately available during initial customer conversation, hence these two types of cost are excluded from this Quick Solution</t>
  </si>
  <si>
    <t>Azure Hybrid Use Benefit (affect non-session host VM pricing ONLY)</t>
  </si>
  <si>
    <t>v1.1</t>
  </si>
  <si>
    <t>Azure Region (for infrastructure)</t>
  </si>
  <si>
    <t>Note: Azure Region (for infrastructure) is different from WVD Service Region; if customers do not put them in the same region, they have to deal with costs of data transfer, networking, etc. between regions</t>
  </si>
  <si>
    <t>Note: networking cost doesn't have live lookup functions, use Azure pricing calculator to get Virtual Network cost (Virtual Network under Networking section)</t>
  </si>
  <si>
    <t>Note: effective cost, could vary based on actual usage</t>
  </si>
  <si>
    <t>Total Infrastructure Cost (Compute + Storage + Networking)</t>
  </si>
  <si>
    <t>note: all non-USER INPUT cells are locked to prevent the model from being accidentally broken by users; unlock those cells only if formula/layout customization is needed</t>
  </si>
  <si>
    <t>A standalone solution configurator that provides a quick Infrastructure (compute, storage, networking) cost estimation with minimal inputs</t>
  </si>
  <si>
    <t>Data Disk size (GB) required</t>
  </si>
  <si>
    <t># Data Disk per VM</t>
  </si>
  <si>
    <t>Data Disk Tier</t>
  </si>
  <si>
    <t>Data Disk</t>
  </si>
  <si>
    <t>Data Disk Size</t>
  </si>
  <si>
    <t>Data Disk cost per Disk</t>
  </si>
  <si>
    <t>Data Disk cost per VM</t>
  </si>
  <si>
    <t>Total OS Disk cost / month during peak hours</t>
  </si>
  <si>
    <t>Note: in general, it's NOT recommended to host applications on OS Disk, use Data Disk instead</t>
  </si>
  <si>
    <t>Total Data Disk cost / month</t>
  </si>
  <si>
    <t>D2s v3</t>
  </si>
  <si>
    <t>Other Datacenter cost (real estate, heating/cooling, electricity, etc.)</t>
  </si>
  <si>
    <t>Other Datacenter cost</t>
  </si>
  <si>
    <t>Other Datacenter</t>
  </si>
  <si>
    <t># Data Disk</t>
  </si>
  <si>
    <t>Service Cost</t>
  </si>
  <si>
    <t>Session-host VM</t>
  </si>
  <si>
    <t>Microsoft WVD Solution Configurator</t>
  </si>
  <si>
    <t>The purpose of this solution configurator is to calculate WVD licensing, management, and infrastructure costs as an input to RFP</t>
  </si>
  <si>
    <t>Important note: customer ALWAYS gets Linux compute rate for WVD SESSION HOST VMs regardless of AHUB</t>
  </si>
  <si>
    <t>AHUB only affects VMs not directly used to host the desktops and apps for WVD such as file server</t>
  </si>
  <si>
    <t>OS Disk size (GB) required (Override)</t>
  </si>
  <si>
    <t>OS Disk size (GB) required (Final)</t>
  </si>
  <si>
    <t>Current Windows Server License (for session host VMs ONLY)</t>
  </si>
  <si>
    <t>Windows Server License (for session host VMs)</t>
  </si>
  <si>
    <t>Session Host VM</t>
  </si>
  <si>
    <t>OS Disk (for Session Host VM)</t>
  </si>
  <si>
    <t>Data Disk (for Session Host VM)</t>
  </si>
  <si>
    <t>Storage Option (Default)</t>
  </si>
  <si>
    <t>Storage Option (Override)</t>
  </si>
  <si>
    <t>File Server VM</t>
  </si>
  <si>
    <t>Total File Server VM cost / month</t>
  </si>
  <si>
    <t>Total File Server OS Disk cost / month</t>
  </si>
  <si>
    <t>Note: for pooled deployment, must configure at least one VM for File Server</t>
  </si>
  <si>
    <t># File Server VMs min required</t>
  </si>
  <si>
    <t># File Server VMs (total)</t>
  </si>
  <si>
    <t>note: WVD provide native Management Services</t>
  </si>
  <si>
    <t>Total File Server VM OS Disk cost / month</t>
  </si>
  <si>
    <t>VM instance (for pricing lookup ONLY)</t>
  </si>
  <si>
    <t>VM Instance (for pricing lookup ONLY)</t>
  </si>
  <si>
    <t>OS Disk (for File Server VM )</t>
  </si>
  <si>
    <t># File Server VMs</t>
  </si>
  <si>
    <t>Note: Azure NetApp Files is usually a more economic option compared to File Server</t>
  </si>
  <si>
    <t>For File Server, customers need to configure for max user storage</t>
  </si>
  <si>
    <t>For Azure NetApp Files, it's charged at actual storage usage</t>
  </si>
  <si>
    <t>* this solution configurator doesn't model the above difference as the cost is estimated at max user storage</t>
  </si>
  <si>
    <t xml:space="preserve">Note: Azure NetApp Files cost doesn't have live lookup functions, get the price at https://azure.microsoft.com/en-us/pricing/details/netapp/ </t>
  </si>
  <si>
    <t>Total Azure NetApp Files Storage cost / month</t>
  </si>
  <si>
    <t>Total File Server Storage cost / month</t>
  </si>
  <si>
    <t>1. improved usability (adding notes, calling out assumptions, labelling, etc.)
2. locked cells that are not for user input
3. added data disk configuration section for session-host VM
4. updated default VM instance for single-session
5. removed FSLogix section
6. defaulted storage option to Azure NetApp Files</t>
  </si>
  <si>
    <t>DS2 v2</t>
  </si>
  <si>
    <t>IT Labor Saving Assumption</t>
  </si>
  <si>
    <t>Windows 7 Extended Security Update</t>
  </si>
  <si>
    <t>Win7 ESU (to)</t>
  </si>
  <si>
    <t>Win7 ESU (from)</t>
  </si>
  <si>
    <t>Win7 ESU Cost Analysis</t>
  </si>
  <si>
    <t>Win7 ESU ($ / month)</t>
  </si>
  <si>
    <t>3-year Win7 ESU included in WVD; otherwise customers would have to pay $25-$200 per device per year</t>
  </si>
  <si>
    <t>only applies to Win7 scenario; customers would have to pay for ESU after Win7 end of support in January 2020</t>
  </si>
  <si>
    <t>Windows Server VMs in WVD are charged at base Linux rate (for session host VMs ONLY); The current Windows Server license cost would be savings for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</si>
</sst>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_);_(* \(#,##0.0\);_(* &quot;-&quot;??_);_(@_)"/>
    <numFmt numFmtId="167" formatCode="_(&quot;$&quot;* #,##0.0000_);_(&quot;$&quot;* \(#,##0.0000\);_(&quot;$&quot;* &quot;-&quot;??_);_(@_)"/>
    <numFmt numFmtId="168" formatCode="&quot;$&quot;#,##0"/>
    <numFmt numFmtId="169" formatCode="0.0"/>
  </numFmts>
  <fonts count="36"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u/>
      <sz val="11"/>
      <color theme="10"/>
      <name val="Calibri"/>
      <family val="2"/>
      <scheme val="minor"/>
    </font>
    <font>
      <b/>
      <sz val="16"/>
      <color rgb="FF0070C0"/>
      <name val="Segoe UI"/>
      <family val="2"/>
    </font>
    <font>
      <sz val="12"/>
      <color theme="1"/>
      <name val="Segoe UI"/>
      <family val="2"/>
    </font>
    <font>
      <sz val="11"/>
      <color theme="1"/>
      <name val="Segoe UI"/>
      <family val="2"/>
    </font>
    <font>
      <b/>
      <i/>
      <sz val="11"/>
      <color theme="1"/>
      <name val="Segoe UI"/>
      <family val="2"/>
    </font>
    <font>
      <b/>
      <sz val="11"/>
      <color theme="1"/>
      <name val="Segoe UI"/>
      <family val="2"/>
    </font>
    <font>
      <i/>
      <sz val="11"/>
      <color theme="1"/>
      <name val="Segoe UI"/>
      <family val="2"/>
    </font>
    <font>
      <sz val="11"/>
      <color theme="0"/>
      <name val="Segoe UI"/>
      <family val="2"/>
    </font>
    <font>
      <sz val="11"/>
      <name val="Segoe UI"/>
      <family val="2"/>
    </font>
    <font>
      <sz val="16"/>
      <color rgb="FF0070C0"/>
      <name val="Segoe UI"/>
      <family val="2"/>
    </font>
    <font>
      <b/>
      <i/>
      <sz val="14"/>
      <color theme="1"/>
      <name val="Segoe UI"/>
      <family val="2"/>
    </font>
    <font>
      <i/>
      <sz val="12"/>
      <color theme="1"/>
      <name val="Segoe UI"/>
      <family val="2"/>
    </font>
    <font>
      <b/>
      <i/>
      <sz val="12"/>
      <color theme="1"/>
      <name val="Segoe UI"/>
      <family val="2"/>
    </font>
    <font>
      <b/>
      <sz val="12"/>
      <color theme="1"/>
      <name val="Segoe UI"/>
      <family val="2"/>
    </font>
    <font>
      <sz val="12"/>
      <name val="Segoe UI"/>
      <family val="2"/>
    </font>
    <font>
      <sz val="11"/>
      <color rgb="FFFF0000"/>
      <name val="Segoe UI"/>
      <family val="2"/>
    </font>
    <font>
      <i/>
      <sz val="11"/>
      <color rgb="FFFF0000"/>
      <name val="Segoe UI"/>
      <family val="2"/>
    </font>
    <font>
      <sz val="11"/>
      <color indexed="8"/>
      <name val="Segoe UI"/>
      <family val="2"/>
    </font>
    <font>
      <b/>
      <sz val="11"/>
      <name val="Segoe UI"/>
      <family val="2"/>
    </font>
    <font>
      <b/>
      <sz val="11"/>
      <color indexed="8"/>
      <name val="Segoe UI"/>
      <family val="2"/>
    </font>
    <font>
      <i/>
      <sz val="11"/>
      <name val="Segoe UI"/>
      <family val="2"/>
    </font>
    <font>
      <u/>
      <sz val="11"/>
      <color theme="10"/>
      <name val="Segoe UI"/>
      <family val="2"/>
    </font>
    <font>
      <b/>
      <sz val="10"/>
      <color rgb="FF000000"/>
      <name val="Segoe UI"/>
      <family val="2"/>
    </font>
    <font>
      <b/>
      <sz val="18"/>
      <color rgb="FF0070C0"/>
      <name val="Segoe UI"/>
      <family val="2"/>
    </font>
    <font>
      <b/>
      <i/>
      <sz val="16"/>
      <color rgb="FF0070C0"/>
      <name val="Segoe UI"/>
      <family val="2"/>
    </font>
    <font>
      <b/>
      <i/>
      <vertAlign val="subscript"/>
      <sz val="16"/>
      <color rgb="FF0070C0"/>
      <name val="Segoe UI"/>
      <family val="2"/>
    </font>
    <font>
      <b/>
      <sz val="11"/>
      <color rgb="FFFF0000"/>
      <name val="Segoe UI"/>
      <family val="2"/>
    </font>
    <font>
      <b/>
      <i/>
      <u/>
      <sz val="12"/>
      <color theme="1"/>
      <name val="Segoe UI"/>
      <family val="2"/>
    </font>
    <font>
      <sz val="11"/>
      <color theme="1" tint="0.499984740745262"/>
      <name val="Segoe U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theme="0" tint="-0.14999847407452621"/>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7030A0"/>
        <bgColor indexed="64"/>
      </patternFill>
    </fill>
    <fill>
      <patternFill patternType="solid">
        <fgColor rgb="FFFFCCFF"/>
        <bgColor indexed="64"/>
      </patternFill>
    </fill>
    <fill>
      <patternFill patternType="solid">
        <fgColor theme="1" tint="0.499984740745262"/>
        <bgColor indexed="64"/>
      </patternFill>
    </fill>
  </fills>
  <borders count="16">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bottom/>
      <diagonal/>
    </border>
    <border>
      <left style="thin">
        <color indexed="64"/>
      </left>
      <right style="thin">
        <color indexed="64"/>
      </right>
      <top style="thin">
        <color indexed="64"/>
      </top>
      <bottom/>
      <diagonal/>
    </border>
    <border>
      <left/>
      <right style="thin">
        <color theme="0" tint="-0.499984740745262"/>
      </right>
      <top style="thin">
        <color theme="0" tint="-0.499984740745262"/>
      </top>
      <bottom/>
      <diagonal/>
    </border>
    <border>
      <left/>
      <right style="thin">
        <color indexed="64"/>
      </right>
      <top style="thin">
        <color indexed="64"/>
      </top>
      <bottom style="thin">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cellStyleXfs>
  <cellXfs count="378">
    <xf numFmtId="0" fontId="0" fillId="0" borderId="0" xfId="0"/>
    <xf numFmtId="0" fontId="0" fillId="0" borderId="0" xfId="0" applyAlignment="1">
      <alignment wrapText="1"/>
    </xf>
    <xf numFmtId="0" fontId="3" fillId="0" borderId="0" xfId="0" applyFont="1" applyFill="1" applyBorder="1"/>
    <xf numFmtId="0" fontId="3" fillId="12" borderId="0" xfId="0" applyFont="1" applyFill="1" applyBorder="1"/>
    <xf numFmtId="0" fontId="0" fillId="0" borderId="0" xfId="0" applyAlignment="1">
      <alignment horizontal="center" vertical="center" wrapText="1"/>
    </xf>
    <xf numFmtId="0" fontId="13" fillId="0" borderId="4" xfId="0" applyFont="1" applyFill="1" applyBorder="1" applyAlignment="1">
      <alignment horizontal="left" wrapText="1"/>
    </xf>
    <xf numFmtId="0" fontId="9" fillId="0" borderId="0" xfId="0" applyFont="1" applyAlignment="1">
      <alignment wrapText="1"/>
    </xf>
    <xf numFmtId="0" fontId="9" fillId="0" borderId="1" xfId="0" applyFont="1" applyFill="1" applyBorder="1" applyAlignment="1">
      <alignment vertical="center" wrapText="1"/>
    </xf>
    <xf numFmtId="0" fontId="12" fillId="6" borderId="1" xfId="0" applyFont="1" applyFill="1" applyBorder="1" applyAlignment="1">
      <alignment vertical="center" wrapText="1"/>
    </xf>
    <xf numFmtId="0" fontId="9" fillId="0" borderId="1" xfId="0" applyFont="1" applyBorder="1" applyAlignment="1">
      <alignment vertical="center" wrapText="1"/>
    </xf>
    <xf numFmtId="0" fontId="14" fillId="0" borderId="1" xfId="0" applyFont="1" applyFill="1" applyBorder="1" applyAlignment="1">
      <alignment horizontal="left" vertical="center" wrapText="1"/>
    </xf>
    <xf numFmtId="0" fontId="9" fillId="0" borderId="1" xfId="0" applyFont="1" applyFill="1" applyBorder="1" applyAlignment="1">
      <alignment horizontal="left" vertical="center" wrapText="1"/>
    </xf>
    <xf numFmtId="0" fontId="13" fillId="14" borderId="1" xfId="0" applyFont="1" applyFill="1" applyBorder="1" applyAlignment="1">
      <alignment horizontal="left" vertical="center" wrapText="1" indent="1"/>
    </xf>
    <xf numFmtId="0" fontId="9" fillId="3" borderId="1" xfId="0" applyFont="1" applyFill="1" applyBorder="1" applyAlignment="1">
      <alignment horizontal="left" vertical="center" wrapText="1" indent="1"/>
    </xf>
    <xf numFmtId="0" fontId="9" fillId="5" borderId="1" xfId="0" applyFont="1" applyFill="1" applyBorder="1" applyAlignment="1">
      <alignment horizontal="left" vertical="center" wrapText="1" indent="1"/>
    </xf>
    <xf numFmtId="0" fontId="13" fillId="7" borderId="1" xfId="0" applyFont="1" applyFill="1" applyBorder="1" applyAlignment="1">
      <alignment horizontal="left" vertical="center" wrapText="1" indent="1"/>
    </xf>
    <xf numFmtId="0" fontId="13" fillId="9" borderId="1" xfId="0" applyFont="1" applyFill="1" applyBorder="1" applyAlignment="1">
      <alignment horizontal="left" vertical="center" wrapText="1" indent="1"/>
    </xf>
    <xf numFmtId="0" fontId="10" fillId="0" borderId="0" xfId="0" applyFont="1" applyAlignment="1">
      <alignment vertical="center" wrapText="1"/>
    </xf>
    <xf numFmtId="0" fontId="9" fillId="0" borderId="0" xfId="0" applyFont="1" applyAlignment="1">
      <alignment vertical="center" wrapText="1"/>
    </xf>
    <xf numFmtId="0" fontId="9" fillId="3" borderId="1" xfId="0" applyFont="1" applyFill="1" applyBorder="1" applyAlignment="1">
      <alignment vertical="center" wrapText="1"/>
    </xf>
    <xf numFmtId="0" fontId="9" fillId="10" borderId="1" xfId="0" applyFont="1" applyFill="1" applyBorder="1" applyAlignment="1">
      <alignment vertical="center" wrapText="1"/>
    </xf>
    <xf numFmtId="0" fontId="9" fillId="8" borderId="1" xfId="0" applyFont="1" applyFill="1" applyBorder="1" applyAlignment="1">
      <alignment vertical="center" wrapText="1"/>
    </xf>
    <xf numFmtId="0" fontId="9" fillId="0" borderId="0" xfId="0" applyFont="1" applyBorder="1" applyAlignment="1">
      <alignment vertical="center" wrapText="1"/>
    </xf>
    <xf numFmtId="0" fontId="10" fillId="0" borderId="6" xfId="0" applyFont="1" applyBorder="1" applyAlignment="1">
      <alignment vertical="center" wrapText="1"/>
    </xf>
    <xf numFmtId="0" fontId="10" fillId="0" borderId="0" xfId="0" applyFont="1" applyBorder="1" applyAlignment="1">
      <alignment vertical="center" wrapText="1"/>
    </xf>
    <xf numFmtId="0" fontId="11" fillId="0" borderId="0" xfId="0" applyFont="1" applyBorder="1" applyAlignment="1">
      <alignment vertical="center" wrapText="1"/>
    </xf>
    <xf numFmtId="0" fontId="8" fillId="0" borderId="0" xfId="0" applyFont="1"/>
    <xf numFmtId="0" fontId="9" fillId="0" borderId="0" xfId="0" applyFont="1"/>
    <xf numFmtId="0" fontId="9" fillId="2" borderId="0" xfId="0" applyFont="1" applyFill="1" applyBorder="1" applyAlignment="1">
      <alignment vertical="center"/>
    </xf>
    <xf numFmtId="0" fontId="12" fillId="2" borderId="0" xfId="0" applyFont="1" applyFill="1" applyBorder="1" applyAlignment="1">
      <alignment vertical="center"/>
    </xf>
    <xf numFmtId="0" fontId="16" fillId="2" borderId="0" xfId="0" applyFont="1" applyFill="1" applyBorder="1" applyAlignment="1">
      <alignment vertical="center"/>
    </xf>
    <xf numFmtId="0" fontId="10" fillId="0" borderId="0" xfId="0" applyFont="1"/>
    <xf numFmtId="0" fontId="9" fillId="0" borderId="0" xfId="0" applyFont="1" applyFill="1"/>
    <xf numFmtId="0" fontId="9" fillId="0" borderId="0" xfId="0" applyFont="1" applyFill="1" applyBorder="1" applyAlignment="1">
      <alignment vertical="center"/>
    </xf>
    <xf numFmtId="0" fontId="12" fillId="2" borderId="0" xfId="0" applyFont="1" applyFill="1" applyBorder="1" applyAlignment="1">
      <alignment horizontal="left" vertical="center"/>
    </xf>
    <xf numFmtId="0" fontId="11" fillId="2" borderId="0" xfId="0" applyFont="1" applyFill="1" applyBorder="1" applyAlignment="1">
      <alignment horizontal="center" vertical="center"/>
    </xf>
    <xf numFmtId="0" fontId="21" fillId="2" borderId="0" xfId="0" applyFont="1" applyFill="1" applyBorder="1" applyAlignment="1">
      <alignment vertical="center"/>
    </xf>
    <xf numFmtId="0" fontId="11" fillId="0" borderId="0" xfId="0" applyFont="1"/>
    <xf numFmtId="0" fontId="9" fillId="2" borderId="0" xfId="0" applyFont="1" applyFill="1" applyBorder="1" applyAlignment="1">
      <alignment horizontal="right" vertical="center"/>
    </xf>
    <xf numFmtId="0" fontId="21" fillId="2" borderId="0" xfId="0" applyFont="1" applyFill="1"/>
    <xf numFmtId="0" fontId="9" fillId="2" borderId="0" xfId="0" applyFont="1" applyFill="1"/>
    <xf numFmtId="0" fontId="9" fillId="2" borderId="0" xfId="0" applyFont="1" applyFill="1" applyBorder="1"/>
    <xf numFmtId="0" fontId="12" fillId="2" borderId="0" xfId="0" applyFont="1" applyFill="1"/>
    <xf numFmtId="167" fontId="9" fillId="0" borderId="0" xfId="0" applyNumberFormat="1" applyFont="1"/>
    <xf numFmtId="0" fontId="9" fillId="0" borderId="1" xfId="0" applyFont="1" applyFill="1" applyBorder="1" applyAlignment="1">
      <alignment vertical="center"/>
    </xf>
    <xf numFmtId="0" fontId="11" fillId="6" borderId="1" xfId="0" applyFont="1" applyFill="1" applyBorder="1" applyAlignment="1">
      <alignment vertical="center"/>
    </xf>
    <xf numFmtId="0" fontId="11" fillId="0" borderId="1" xfId="0" applyFont="1" applyFill="1" applyBorder="1" applyAlignment="1">
      <alignment vertical="center"/>
    </xf>
    <xf numFmtId="0" fontId="9" fillId="0" borderId="1" xfId="0" applyFont="1" applyFill="1" applyBorder="1" applyAlignment="1">
      <alignment horizontal="left" vertical="center" indent="1"/>
    </xf>
    <xf numFmtId="0" fontId="19" fillId="6" borderId="1" xfId="0" applyFont="1" applyFill="1" applyBorder="1" applyAlignment="1">
      <alignment horizontal="center"/>
    </xf>
    <xf numFmtId="0" fontId="9" fillId="0" borderId="1" xfId="0" applyFont="1" applyBorder="1"/>
    <xf numFmtId="0" fontId="9" fillId="0" borderId="1" xfId="0" applyFont="1" applyBorder="1" applyAlignment="1">
      <alignment horizontal="left" indent="1"/>
    </xf>
    <xf numFmtId="0" fontId="11" fillId="0" borderId="1" xfId="0" applyFont="1" applyBorder="1" applyAlignment="1">
      <alignment horizontal="left" indent="1"/>
    </xf>
    <xf numFmtId="0" fontId="9" fillId="10" borderId="1" xfId="0" applyFont="1" applyFill="1" applyBorder="1" applyAlignment="1">
      <alignment horizontal="right"/>
    </xf>
    <xf numFmtId="164" fontId="9" fillId="10" borderId="1" xfId="1" applyNumberFormat="1" applyFont="1" applyFill="1" applyBorder="1" applyAlignment="1">
      <alignment horizontal="right"/>
    </xf>
    <xf numFmtId="164" fontId="9" fillId="8" borderId="1" xfId="1" applyNumberFormat="1" applyFont="1" applyFill="1" applyBorder="1"/>
    <xf numFmtId="164" fontId="23" fillId="13" borderId="1" xfId="1" applyNumberFormat="1" applyFont="1" applyFill="1" applyBorder="1" applyAlignment="1">
      <alignment horizontal="right"/>
    </xf>
    <xf numFmtId="165" fontId="24" fillId="10" borderId="1" xfId="0" applyNumberFormat="1" applyFont="1" applyFill="1" applyBorder="1"/>
    <xf numFmtId="0" fontId="9" fillId="10" borderId="3" xfId="0" applyFont="1" applyFill="1" applyBorder="1" applyAlignment="1">
      <alignment horizontal="right"/>
    </xf>
    <xf numFmtId="0" fontId="9" fillId="8" borderId="3" xfId="0" applyFont="1" applyFill="1" applyBorder="1" applyAlignment="1">
      <alignment horizontal="right"/>
    </xf>
    <xf numFmtId="164" fontId="9" fillId="10" borderId="3" xfId="1" applyNumberFormat="1" applyFont="1" applyFill="1" applyBorder="1" applyAlignment="1">
      <alignment horizontal="right"/>
    </xf>
    <xf numFmtId="164" fontId="9" fillId="8" borderId="3" xfId="1" applyNumberFormat="1" applyFont="1" applyFill="1" applyBorder="1"/>
    <xf numFmtId="164" fontId="23" fillId="13" borderId="3" xfId="1" applyNumberFormat="1" applyFont="1" applyFill="1" applyBorder="1" applyAlignment="1">
      <alignment horizontal="right"/>
    </xf>
    <xf numFmtId="0" fontId="19" fillId="6" borderId="1" xfId="0" applyFont="1" applyFill="1" applyBorder="1"/>
    <xf numFmtId="0" fontId="9" fillId="0" borderId="1" xfId="0" applyFont="1" applyFill="1" applyBorder="1" applyAlignment="1">
      <alignment horizontal="left" indent="1"/>
    </xf>
    <xf numFmtId="0" fontId="14" fillId="0" borderId="1" xfId="0" applyFont="1" applyFill="1" applyBorder="1" applyAlignment="1">
      <alignment horizontal="left" indent="1"/>
    </xf>
    <xf numFmtId="0" fontId="11" fillId="0" borderId="1" xfId="0" applyFont="1" applyFill="1" applyBorder="1"/>
    <xf numFmtId="44" fontId="11" fillId="10" borderId="1" xfId="2" applyFont="1" applyFill="1" applyBorder="1"/>
    <xf numFmtId="164" fontId="9" fillId="8" borderId="1" xfId="1" applyNumberFormat="1" applyFont="1" applyFill="1" applyBorder="1" applyAlignment="1">
      <alignment horizontal="right"/>
    </xf>
    <xf numFmtId="0" fontId="23" fillId="13" borderId="1" xfId="0" applyFont="1" applyFill="1" applyBorder="1" applyAlignment="1">
      <alignment horizontal="right"/>
    </xf>
    <xf numFmtId="0" fontId="14" fillId="13" borderId="1" xfId="0" applyFont="1" applyFill="1" applyBorder="1" applyAlignment="1">
      <alignment horizontal="right"/>
    </xf>
    <xf numFmtId="44" fontId="23" fillId="13" borderId="1" xfId="2" applyFont="1" applyFill="1" applyBorder="1"/>
    <xf numFmtId="44" fontId="23" fillId="10" borderId="1" xfId="2" applyFont="1" applyFill="1" applyBorder="1"/>
    <xf numFmtId="44" fontId="25" fillId="10" borderId="1" xfId="2" applyFont="1" applyFill="1" applyBorder="1"/>
    <xf numFmtId="164" fontId="9" fillId="10" borderId="1" xfId="1" applyNumberFormat="1" applyFont="1" applyFill="1" applyBorder="1"/>
    <xf numFmtId="166" fontId="23" fillId="13" borderId="1" xfId="1" applyNumberFormat="1" applyFont="1" applyFill="1" applyBorder="1" applyAlignment="1">
      <alignment horizontal="right"/>
    </xf>
    <xf numFmtId="44" fontId="23" fillId="13" borderId="1" xfId="2" applyFont="1" applyFill="1" applyBorder="1" applyAlignment="1">
      <alignment horizontal="right"/>
    </xf>
    <xf numFmtId="164" fontId="23" fillId="10" borderId="1" xfId="1" applyNumberFormat="1" applyFont="1" applyFill="1" applyBorder="1" applyAlignment="1">
      <alignment horizontal="right"/>
    </xf>
    <xf numFmtId="0" fontId="11" fillId="6" borderId="1" xfId="0" applyFont="1" applyFill="1" applyBorder="1"/>
    <xf numFmtId="0" fontId="11" fillId="0" borderId="1" xfId="0" applyFont="1" applyFill="1" applyBorder="1" applyAlignment="1">
      <alignment horizontal="left" indent="2"/>
    </xf>
    <xf numFmtId="0" fontId="11" fillId="0" borderId="1" xfId="0" applyFont="1" applyFill="1" applyBorder="1" applyAlignment="1">
      <alignment horizontal="left" indent="1"/>
    </xf>
    <xf numFmtId="0" fontId="9" fillId="2" borderId="0" xfId="0" applyFont="1" applyFill="1" applyBorder="1" applyAlignment="1">
      <alignment vertical="center" wrapText="1"/>
    </xf>
    <xf numFmtId="0" fontId="12" fillId="2" borderId="0" xfId="0" applyFont="1" applyFill="1" applyBorder="1" applyAlignment="1">
      <alignment vertical="center" wrapText="1"/>
    </xf>
    <xf numFmtId="0" fontId="8" fillId="0" borderId="1" xfId="0" applyFont="1" applyBorder="1"/>
    <xf numFmtId="0" fontId="9" fillId="3" borderId="1" xfId="0" applyFont="1" applyFill="1" applyBorder="1" applyAlignment="1">
      <alignment vertical="center"/>
    </xf>
    <xf numFmtId="0" fontId="9" fillId="10" borderId="1" xfId="0" applyFont="1" applyFill="1" applyBorder="1" applyAlignment="1">
      <alignment vertical="center"/>
    </xf>
    <xf numFmtId="0" fontId="9" fillId="8" borderId="1" xfId="0" applyFont="1" applyFill="1" applyBorder="1" applyAlignment="1">
      <alignment vertical="center"/>
    </xf>
    <xf numFmtId="0" fontId="9" fillId="13" borderId="1" xfId="0" applyFont="1" applyFill="1" applyBorder="1" applyAlignment="1">
      <alignment vertical="center"/>
    </xf>
    <xf numFmtId="0" fontId="16" fillId="2" borderId="0" xfId="0" applyFont="1" applyFill="1" applyBorder="1" applyAlignment="1">
      <alignment vertical="center" wrapText="1"/>
    </xf>
    <xf numFmtId="0" fontId="21" fillId="2" borderId="0" xfId="0" applyFont="1" applyFill="1" applyBorder="1"/>
    <xf numFmtId="0" fontId="22" fillId="2" borderId="0" xfId="0" applyFont="1" applyFill="1" applyBorder="1"/>
    <xf numFmtId="0" fontId="12" fillId="2" borderId="0" xfId="0" applyFont="1" applyFill="1" applyBorder="1"/>
    <xf numFmtId="164" fontId="9" fillId="8" borderId="3" xfId="1" applyNumberFormat="1" applyFont="1" applyFill="1" applyBorder="1" applyAlignment="1">
      <alignment horizontal="right"/>
    </xf>
    <xf numFmtId="167" fontId="23" fillId="13" borderId="3" xfId="2" applyNumberFormat="1" applyFont="1" applyFill="1" applyBorder="1" applyAlignment="1">
      <alignment horizontal="right"/>
    </xf>
    <xf numFmtId="164" fontId="14" fillId="10" borderId="3" xfId="1" applyNumberFormat="1" applyFont="1" applyFill="1" applyBorder="1" applyAlignment="1">
      <alignment horizontal="right"/>
    </xf>
    <xf numFmtId="165" fontId="24" fillId="10" borderId="3" xfId="0" applyNumberFormat="1" applyFont="1" applyFill="1" applyBorder="1" applyAlignment="1">
      <alignment horizontal="right"/>
    </xf>
    <xf numFmtId="167" fontId="23" fillId="13" borderId="1" xfId="2" applyNumberFormat="1" applyFont="1" applyFill="1" applyBorder="1" applyAlignment="1">
      <alignment horizontal="right"/>
    </xf>
    <xf numFmtId="44" fontId="11" fillId="10" borderId="1" xfId="2" applyFont="1" applyFill="1" applyBorder="1" applyAlignment="1">
      <alignment horizontal="right"/>
    </xf>
    <xf numFmtId="44" fontId="23" fillId="10" borderId="1" xfId="2" applyFont="1" applyFill="1" applyBorder="1" applyAlignment="1">
      <alignment horizontal="right"/>
    </xf>
    <xf numFmtId="44" fontId="25" fillId="10" borderId="1" xfId="2" applyFont="1" applyFill="1" applyBorder="1" applyAlignment="1">
      <alignment horizontal="right"/>
    </xf>
    <xf numFmtId="0" fontId="16" fillId="2" borderId="0" xfId="0" applyFont="1" applyFill="1" applyBorder="1" applyAlignment="1">
      <alignment horizontal="right"/>
    </xf>
    <xf numFmtId="44" fontId="11" fillId="10" borderId="1" xfId="2" applyNumberFormat="1" applyFont="1" applyFill="1" applyBorder="1" applyAlignment="1">
      <alignment horizontal="right"/>
    </xf>
    <xf numFmtId="44" fontId="11" fillId="10" borderId="1" xfId="0" applyNumberFormat="1" applyFont="1" applyFill="1" applyBorder="1" applyAlignment="1">
      <alignment horizontal="right"/>
    </xf>
    <xf numFmtId="9" fontId="11" fillId="10" borderId="1" xfId="3" applyNumberFormat="1" applyFont="1" applyFill="1" applyBorder="1" applyAlignment="1">
      <alignment horizontal="right"/>
    </xf>
    <xf numFmtId="0" fontId="8" fillId="11" borderId="0" xfId="0" applyFont="1" applyFill="1"/>
    <xf numFmtId="0" fontId="9" fillId="11" borderId="0" xfId="0" applyFont="1" applyFill="1"/>
    <xf numFmtId="0" fontId="9" fillId="11" borderId="0" xfId="0" applyFont="1" applyFill="1" applyAlignment="1">
      <alignment vertical="center"/>
    </xf>
    <xf numFmtId="0" fontId="9" fillId="0" borderId="1" xfId="0" applyFont="1" applyBorder="1" applyAlignment="1">
      <alignment horizontal="left"/>
    </xf>
    <xf numFmtId="165" fontId="9" fillId="10" borderId="1" xfId="2" applyNumberFormat="1" applyFont="1" applyFill="1" applyBorder="1" applyAlignment="1">
      <alignment horizontal="right" vertical="center"/>
    </xf>
    <xf numFmtId="0" fontId="11" fillId="6" borderId="7" xfId="0" applyFont="1" applyFill="1" applyBorder="1" applyAlignment="1">
      <alignment vertical="center"/>
    </xf>
    <xf numFmtId="0" fontId="8" fillId="0" borderId="0" xfId="0" applyFont="1" applyFill="1"/>
    <xf numFmtId="0" fontId="12" fillId="0" borderId="0" xfId="0" applyFont="1" applyFill="1" applyBorder="1" applyAlignment="1">
      <alignment vertical="center"/>
    </xf>
    <xf numFmtId="0" fontId="21" fillId="0" borderId="0" xfId="0" applyFont="1" applyFill="1" applyBorder="1" applyAlignment="1">
      <alignment vertical="center"/>
    </xf>
    <xf numFmtId="0" fontId="10" fillId="0" borderId="0" xfId="0" applyFont="1" applyAlignment="1">
      <alignment vertical="center"/>
    </xf>
    <xf numFmtId="0" fontId="9" fillId="0" borderId="0" xfId="0" applyFont="1" applyAlignment="1">
      <alignment vertical="center"/>
    </xf>
    <xf numFmtId="0" fontId="11" fillId="0" borderId="0" xfId="0" applyFont="1" applyAlignment="1">
      <alignment vertical="center"/>
    </xf>
    <xf numFmtId="0" fontId="9" fillId="4" borderId="1" xfId="0" applyFont="1" applyFill="1" applyBorder="1" applyAlignment="1">
      <alignment vertical="center"/>
    </xf>
    <xf numFmtId="0" fontId="9" fillId="0" borderId="1" xfId="0" applyFont="1" applyBorder="1" applyAlignment="1">
      <alignment vertical="center"/>
    </xf>
    <xf numFmtId="0" fontId="7" fillId="0" borderId="0" xfId="0" applyFont="1" applyFill="1" applyAlignment="1">
      <alignment horizontal="left" vertical="center"/>
    </xf>
    <xf numFmtId="0" fontId="8" fillId="0" borderId="0" xfId="0" applyFont="1" applyFill="1" applyAlignment="1">
      <alignment horizontal="left" vertical="center"/>
    </xf>
    <xf numFmtId="0" fontId="9" fillId="0" borderId="0" xfId="0" applyFont="1" applyFill="1" applyBorder="1" applyAlignment="1">
      <alignment vertical="center" wrapText="1"/>
    </xf>
    <xf numFmtId="0" fontId="21" fillId="0" borderId="0" xfId="0" applyFont="1" applyFill="1" applyBorder="1"/>
    <xf numFmtId="0" fontId="22" fillId="0" borderId="0" xfId="0" applyFont="1" applyFill="1" applyBorder="1"/>
    <xf numFmtId="0" fontId="16" fillId="0" borderId="0" xfId="0" applyFont="1" applyFill="1" applyBorder="1" applyAlignment="1">
      <alignment vertical="center"/>
    </xf>
    <xf numFmtId="0" fontId="9" fillId="0" borderId="1" xfId="0" applyFont="1" applyBorder="1" applyAlignment="1">
      <alignment horizontal="left" vertical="center" indent="1"/>
    </xf>
    <xf numFmtId="0" fontId="11" fillId="6" borderId="1" xfId="0" applyFont="1" applyFill="1" applyBorder="1" applyAlignment="1">
      <alignment horizontal="left" vertical="center" indent="1"/>
    </xf>
    <xf numFmtId="0" fontId="9" fillId="0" borderId="1" xfId="0" applyFont="1" applyBorder="1" applyAlignment="1">
      <alignment horizontal="left" vertical="center"/>
    </xf>
    <xf numFmtId="0" fontId="8" fillId="0" borderId="0" xfId="0" applyFont="1" applyAlignment="1">
      <alignment wrapText="1"/>
    </xf>
    <xf numFmtId="0" fontId="21" fillId="0" borderId="0" xfId="0" applyFont="1"/>
    <xf numFmtId="0" fontId="16" fillId="2" borderId="0" xfId="0" applyFont="1" applyFill="1" applyBorder="1" applyAlignment="1">
      <alignment horizontal="left" vertical="center"/>
    </xf>
    <xf numFmtId="0" fontId="22" fillId="2" borderId="0" xfId="0" applyFont="1" applyFill="1" applyBorder="1" applyAlignment="1">
      <alignment vertical="center"/>
    </xf>
    <xf numFmtId="0" fontId="9" fillId="11" borderId="0" xfId="0" applyFont="1" applyFill="1" applyAlignment="1"/>
    <xf numFmtId="0" fontId="9" fillId="0" borderId="0" xfId="0" applyFont="1" applyFill="1" applyAlignment="1"/>
    <xf numFmtId="0" fontId="21" fillId="0" borderId="0" xfId="0" applyFont="1" applyFill="1"/>
    <xf numFmtId="0" fontId="9" fillId="10" borderId="1" xfId="0" applyFont="1" applyFill="1" applyBorder="1" applyAlignment="1">
      <alignment horizontal="right" vertical="center"/>
    </xf>
    <xf numFmtId="0" fontId="9" fillId="2" borderId="1" xfId="0" applyFont="1" applyFill="1" applyBorder="1" applyAlignment="1">
      <alignment vertical="center"/>
    </xf>
    <xf numFmtId="0" fontId="11" fillId="0" borderId="1" xfId="0" applyFont="1" applyBorder="1" applyAlignment="1">
      <alignment horizontal="left"/>
    </xf>
    <xf numFmtId="0" fontId="11" fillId="0" borderId="1" xfId="0" applyFont="1" applyFill="1" applyBorder="1" applyAlignment="1">
      <alignment horizontal="left"/>
    </xf>
    <xf numFmtId="0" fontId="19" fillId="6" borderId="1" xfId="0" applyFont="1" applyFill="1" applyBorder="1" applyAlignment="1">
      <alignment horizontal="center" vertical="center"/>
    </xf>
    <xf numFmtId="164" fontId="9" fillId="10" borderId="1" xfId="1" applyNumberFormat="1" applyFont="1" applyFill="1" applyBorder="1" applyAlignment="1">
      <alignment horizontal="right" vertical="center"/>
    </xf>
    <xf numFmtId="0" fontId="9" fillId="10" borderId="1" xfId="0" applyFont="1" applyFill="1" applyBorder="1" applyAlignment="1">
      <alignment horizontal="right" vertical="center" wrapText="1"/>
    </xf>
    <xf numFmtId="44" fontId="9" fillId="0" borderId="1" xfId="2" applyFont="1" applyFill="1" applyBorder="1" applyAlignment="1">
      <alignment horizontal="right" vertical="center"/>
    </xf>
    <xf numFmtId="165" fontId="9" fillId="10" borderId="1" xfId="2" applyNumberFormat="1" applyFont="1" applyFill="1" applyBorder="1" applyAlignment="1">
      <alignment horizontal="left" vertical="center"/>
    </xf>
    <xf numFmtId="0" fontId="19" fillId="0" borderId="0" xfId="0" applyFont="1" applyAlignment="1">
      <alignment vertical="center"/>
    </xf>
    <xf numFmtId="0" fontId="13" fillId="0" borderId="0" xfId="0" applyFont="1"/>
    <xf numFmtId="0" fontId="7" fillId="0" borderId="0" xfId="0" applyFont="1" applyAlignment="1">
      <alignment vertical="center"/>
    </xf>
    <xf numFmtId="0" fontId="8" fillId="0" borderId="0" xfId="0" applyFont="1" applyFill="1" applyAlignment="1">
      <alignment horizontal="left"/>
    </xf>
    <xf numFmtId="9" fontId="9" fillId="0" borderId="1" xfId="0" applyNumberFormat="1" applyFont="1" applyBorder="1" applyAlignment="1">
      <alignment horizontal="left" vertical="center"/>
    </xf>
    <xf numFmtId="0" fontId="9" fillId="3" borderId="0" xfId="0" applyFont="1" applyFill="1"/>
    <xf numFmtId="164" fontId="9" fillId="3" borderId="0" xfId="0" applyNumberFormat="1" applyFont="1" applyFill="1"/>
    <xf numFmtId="0" fontId="22" fillId="0" borderId="0" xfId="0" applyFont="1"/>
    <xf numFmtId="164" fontId="22" fillId="0" borderId="0" xfId="1" applyNumberFormat="1" applyFont="1" applyFill="1" applyBorder="1" applyAlignment="1">
      <alignment horizontal="left"/>
    </xf>
    <xf numFmtId="0" fontId="12" fillId="0" borderId="0" xfId="0" applyFont="1"/>
    <xf numFmtId="0" fontId="26" fillId="2" borderId="0" xfId="0" applyFont="1" applyFill="1"/>
    <xf numFmtId="0" fontId="22" fillId="0" borderId="0" xfId="0" applyFont="1" applyFill="1"/>
    <xf numFmtId="0" fontId="14" fillId="0" borderId="0" xfId="0" applyFont="1"/>
    <xf numFmtId="164" fontId="9" fillId="0" borderId="0" xfId="0" applyNumberFormat="1" applyFont="1"/>
    <xf numFmtId="0" fontId="7" fillId="11" borderId="0" xfId="0" applyFont="1" applyFill="1" applyAlignment="1">
      <alignment vertical="center"/>
    </xf>
    <xf numFmtId="0" fontId="9" fillId="0" borderId="0" xfId="0" applyFont="1" applyFill="1" applyBorder="1"/>
    <xf numFmtId="0" fontId="16" fillId="2" borderId="0" xfId="0" applyFont="1" applyFill="1" applyBorder="1" applyAlignment="1">
      <alignment horizontal="right" vertical="center"/>
    </xf>
    <xf numFmtId="0" fontId="12" fillId="2" borderId="0" xfId="0" applyFont="1" applyFill="1" applyBorder="1" applyAlignment="1">
      <alignment horizontal="right" vertical="center"/>
    </xf>
    <xf numFmtId="0" fontId="8" fillId="2" borderId="0" xfId="0" applyFont="1" applyFill="1" applyBorder="1" applyAlignment="1">
      <alignment horizontal="right" vertical="center"/>
    </xf>
    <xf numFmtId="0" fontId="22" fillId="2" borderId="0" xfId="0" applyFont="1" applyFill="1" applyBorder="1" applyAlignment="1">
      <alignment horizontal="right" vertical="center"/>
    </xf>
    <xf numFmtId="0" fontId="26" fillId="2" borderId="0" xfId="0" applyFont="1" applyFill="1" applyBorder="1" applyAlignment="1">
      <alignment horizontal="right" vertical="center"/>
    </xf>
    <xf numFmtId="0" fontId="9" fillId="0" borderId="1" xfId="0" applyFont="1" applyFill="1" applyBorder="1"/>
    <xf numFmtId="164" fontId="9" fillId="10" borderId="1" xfId="0" applyNumberFormat="1" applyFont="1" applyFill="1" applyBorder="1" applyAlignment="1">
      <alignment horizontal="right" vertical="center"/>
    </xf>
    <xf numFmtId="0" fontId="19" fillId="6" borderId="7" xfId="0" applyFont="1" applyFill="1" applyBorder="1"/>
    <xf numFmtId="9" fontId="9" fillId="10" borderId="1" xfId="0" applyNumberFormat="1" applyFont="1" applyFill="1" applyBorder="1" applyAlignment="1">
      <alignment horizontal="right" vertical="center"/>
    </xf>
    <xf numFmtId="0" fontId="9" fillId="8" borderId="1" xfId="0" applyFont="1" applyFill="1" applyBorder="1" applyAlignment="1">
      <alignment horizontal="right" vertical="center"/>
    </xf>
    <xf numFmtId="164" fontId="9" fillId="8" borderId="1" xfId="1" applyNumberFormat="1" applyFont="1" applyFill="1" applyBorder="1" applyAlignment="1">
      <alignment horizontal="right" vertical="center"/>
    </xf>
    <xf numFmtId="0" fontId="16" fillId="2" borderId="1" xfId="0" applyFont="1" applyFill="1" applyBorder="1" applyAlignment="1">
      <alignment vertical="center"/>
    </xf>
    <xf numFmtId="0" fontId="16" fillId="2" borderId="1" xfId="0" applyFont="1" applyFill="1" applyBorder="1" applyAlignment="1">
      <alignment horizontal="right" vertical="center"/>
    </xf>
    <xf numFmtId="164" fontId="23" fillId="13" borderId="1" xfId="1" applyNumberFormat="1" applyFont="1" applyFill="1" applyBorder="1" applyAlignment="1">
      <alignment horizontal="right" vertical="center"/>
    </xf>
    <xf numFmtId="167" fontId="23" fillId="13" borderId="1" xfId="2" applyNumberFormat="1" applyFont="1" applyFill="1" applyBorder="1" applyAlignment="1">
      <alignment horizontal="right" vertical="center"/>
    </xf>
    <xf numFmtId="164" fontId="14" fillId="10" borderId="1" xfId="1" applyNumberFormat="1" applyFont="1" applyFill="1" applyBorder="1" applyAlignment="1">
      <alignment horizontal="right" vertical="center"/>
    </xf>
    <xf numFmtId="165" fontId="14" fillId="10" borderId="1" xfId="2" applyNumberFormat="1" applyFont="1" applyFill="1" applyBorder="1" applyAlignment="1">
      <alignment horizontal="right" vertical="center"/>
    </xf>
    <xf numFmtId="164" fontId="14" fillId="10" borderId="1" xfId="0" applyNumberFormat="1" applyFont="1" applyFill="1" applyBorder="1" applyAlignment="1">
      <alignment horizontal="right" vertical="center"/>
    </xf>
    <xf numFmtId="44" fontId="14" fillId="10" borderId="1" xfId="2" applyFont="1" applyFill="1" applyBorder="1" applyAlignment="1">
      <alignment horizontal="right" vertical="center"/>
    </xf>
    <xf numFmtId="165" fontId="24" fillId="10" borderId="1" xfId="0" applyNumberFormat="1" applyFont="1" applyFill="1" applyBorder="1" applyAlignment="1">
      <alignment horizontal="right" vertical="center"/>
    </xf>
    <xf numFmtId="44" fontId="11" fillId="10" borderId="1" xfId="2" applyFont="1" applyFill="1" applyBorder="1" applyAlignment="1">
      <alignment horizontal="right" vertical="center"/>
    </xf>
    <xf numFmtId="0" fontId="23" fillId="13" borderId="1" xfId="0" applyFont="1" applyFill="1" applyBorder="1" applyAlignment="1">
      <alignment horizontal="right" vertical="center"/>
    </xf>
    <xf numFmtId="0" fontId="14" fillId="13" borderId="1" xfId="0" applyFont="1" applyFill="1" applyBorder="1" applyAlignment="1">
      <alignment horizontal="right" vertical="center"/>
    </xf>
    <xf numFmtId="44" fontId="23" fillId="13" borderId="1" xfId="2" applyFont="1" applyFill="1" applyBorder="1" applyAlignment="1">
      <alignment horizontal="right" vertical="center"/>
    </xf>
    <xf numFmtId="44" fontId="23" fillId="10" borderId="1" xfId="2" applyFont="1" applyFill="1" applyBorder="1" applyAlignment="1">
      <alignment horizontal="right" vertical="center"/>
    </xf>
    <xf numFmtId="164" fontId="23" fillId="10" borderId="1" xfId="1" applyNumberFormat="1" applyFont="1" applyFill="1" applyBorder="1" applyAlignment="1">
      <alignment horizontal="right" vertical="center"/>
    </xf>
    <xf numFmtId="44" fontId="25" fillId="10" borderId="1" xfId="2" applyFont="1" applyFill="1" applyBorder="1" applyAlignment="1">
      <alignment horizontal="right" vertical="center"/>
    </xf>
    <xf numFmtId="166" fontId="23" fillId="13" borderId="1" xfId="1" applyNumberFormat="1" applyFont="1" applyFill="1" applyBorder="1" applyAlignment="1">
      <alignment horizontal="right" vertical="center"/>
    </xf>
    <xf numFmtId="0" fontId="11" fillId="6" borderId="7" xfId="0" applyFont="1" applyFill="1" applyBorder="1"/>
    <xf numFmtId="44" fontId="9" fillId="10" borderId="1" xfId="2" applyFont="1" applyFill="1" applyBorder="1" applyAlignment="1">
      <alignment horizontal="right" vertical="center"/>
    </xf>
    <xf numFmtId="44" fontId="11" fillId="10" borderId="1" xfId="2" applyNumberFormat="1" applyFont="1" applyFill="1" applyBorder="1" applyAlignment="1">
      <alignment horizontal="right" vertical="center"/>
    </xf>
    <xf numFmtId="168" fontId="11" fillId="10" borderId="1" xfId="2" applyNumberFormat="1" applyFont="1" applyFill="1" applyBorder="1" applyAlignment="1">
      <alignment horizontal="right" vertical="center"/>
    </xf>
    <xf numFmtId="44" fontId="11" fillId="10" borderId="1" xfId="0" applyNumberFormat="1" applyFont="1" applyFill="1" applyBorder="1" applyAlignment="1">
      <alignment horizontal="right" vertical="center"/>
    </xf>
    <xf numFmtId="9" fontId="11" fillId="10" borderId="1" xfId="0" applyNumberFormat="1" applyFont="1" applyFill="1" applyBorder="1" applyAlignment="1">
      <alignment horizontal="right" vertical="center"/>
    </xf>
    <xf numFmtId="0" fontId="11" fillId="0" borderId="0" xfId="0" applyFont="1" applyAlignment="1">
      <alignment horizontal="right" vertical="center"/>
    </xf>
    <xf numFmtId="164" fontId="11" fillId="10" borderId="1" xfId="0" applyNumberFormat="1" applyFont="1" applyFill="1" applyBorder="1" applyAlignment="1">
      <alignment horizontal="right" vertical="center"/>
    </xf>
    <xf numFmtId="0" fontId="9" fillId="2" borderId="0" xfId="0" applyFont="1" applyFill="1" applyAlignment="1">
      <alignment wrapText="1"/>
    </xf>
    <xf numFmtId="0" fontId="11" fillId="0" borderId="1" xfId="0" applyFont="1" applyFill="1" applyBorder="1" applyAlignment="1">
      <alignment horizontal="left" vertical="center"/>
    </xf>
    <xf numFmtId="165" fontId="11" fillId="10" borderId="1" xfId="2" applyNumberFormat="1" applyFont="1" applyFill="1" applyBorder="1" applyAlignment="1">
      <alignment vertical="center"/>
    </xf>
    <xf numFmtId="0" fontId="10" fillId="0" borderId="0" xfId="0" applyFont="1" applyAlignment="1">
      <alignment vertical="top"/>
    </xf>
    <xf numFmtId="0" fontId="9" fillId="10" borderId="1" xfId="0" applyFont="1" applyFill="1" applyBorder="1" applyAlignment="1">
      <alignment vertical="top"/>
    </xf>
    <xf numFmtId="0" fontId="11" fillId="2" borderId="0" xfId="0" applyFont="1" applyFill="1" applyBorder="1" applyAlignment="1">
      <alignment vertical="center"/>
    </xf>
    <xf numFmtId="0" fontId="19" fillId="2" borderId="0" xfId="0" applyFont="1" applyFill="1" applyBorder="1" applyAlignment="1">
      <alignment horizontal="center"/>
    </xf>
    <xf numFmtId="0" fontId="27" fillId="0" borderId="0" xfId="4" applyFont="1"/>
    <xf numFmtId="164" fontId="11" fillId="10" borderId="1" xfId="1" applyNumberFormat="1" applyFont="1" applyFill="1" applyBorder="1" applyAlignment="1">
      <alignment horizontal="right" vertical="center"/>
    </xf>
    <xf numFmtId="0" fontId="9" fillId="0" borderId="1" xfId="0" applyFont="1" applyBorder="1" applyAlignment="1">
      <alignment horizontal="left" indent="2"/>
    </xf>
    <xf numFmtId="9" fontId="11" fillId="10" borderId="1" xfId="3" applyFont="1" applyFill="1" applyBorder="1"/>
    <xf numFmtId="9" fontId="9" fillId="10" borderId="1" xfId="3" applyFont="1" applyFill="1" applyBorder="1"/>
    <xf numFmtId="0" fontId="9" fillId="6" borderId="1" xfId="0" applyFont="1" applyFill="1" applyBorder="1"/>
    <xf numFmtId="0" fontId="28" fillId="0" borderId="1" xfId="0" applyFont="1" applyBorder="1" applyAlignment="1">
      <alignment vertical="center"/>
    </xf>
    <xf numFmtId="0" fontId="8" fillId="0" borderId="0" xfId="0" applyFont="1" applyAlignment="1">
      <alignment vertical="center"/>
    </xf>
    <xf numFmtId="0" fontId="11" fillId="0" borderId="1" xfId="0" applyFont="1" applyBorder="1" applyAlignment="1">
      <alignment vertical="center"/>
    </xf>
    <xf numFmtId="0" fontId="15" fillId="0" borderId="0" xfId="0" applyFont="1" applyAlignment="1">
      <alignment vertical="center"/>
    </xf>
    <xf numFmtId="0" fontId="29" fillId="0" borderId="0" xfId="0" applyFont="1" applyAlignment="1">
      <alignment vertical="center"/>
    </xf>
    <xf numFmtId="0" fontId="7" fillId="0" borderId="0" xfId="0" applyFont="1" applyBorder="1" applyAlignment="1">
      <alignment vertical="center"/>
    </xf>
    <xf numFmtId="0" fontId="8" fillId="11" borderId="0" xfId="0" applyFont="1" applyFill="1" applyAlignment="1">
      <alignment vertical="center"/>
    </xf>
    <xf numFmtId="0" fontId="11" fillId="11" borderId="1" xfId="0" applyFont="1" applyFill="1" applyBorder="1" applyAlignment="1">
      <alignment vertical="center"/>
    </xf>
    <xf numFmtId="0" fontId="28" fillId="11" borderId="1" xfId="0" applyFont="1" applyFill="1" applyBorder="1" applyAlignment="1">
      <alignment vertical="center"/>
    </xf>
    <xf numFmtId="0" fontId="19" fillId="11" borderId="1" xfId="0" applyFont="1" applyFill="1" applyBorder="1" applyAlignment="1">
      <alignment vertical="center"/>
    </xf>
    <xf numFmtId="0" fontId="11" fillId="0" borderId="1" xfId="0" applyFont="1" applyFill="1" applyBorder="1" applyAlignment="1">
      <alignment horizontal="center" vertical="center"/>
    </xf>
    <xf numFmtId="0" fontId="11" fillId="4" borderId="1" xfId="0" applyFont="1" applyFill="1" applyBorder="1" applyAlignment="1">
      <alignment vertical="center"/>
    </xf>
    <xf numFmtId="0" fontId="13" fillId="0" borderId="0" xfId="0" applyFont="1" applyAlignment="1">
      <alignment vertical="center"/>
    </xf>
    <xf numFmtId="0" fontId="13" fillId="0" borderId="0" xfId="0" applyFont="1" applyFill="1" applyBorder="1" applyAlignment="1">
      <alignment vertical="center"/>
    </xf>
    <xf numFmtId="0" fontId="9" fillId="0" borderId="0" xfId="0" applyFont="1" applyBorder="1" applyAlignment="1">
      <alignment vertical="center"/>
    </xf>
    <xf numFmtId="0" fontId="9" fillId="0" borderId="8" xfId="0" applyFont="1" applyBorder="1" applyAlignment="1">
      <alignment wrapText="1"/>
    </xf>
    <xf numFmtId="0" fontId="9" fillId="0" borderId="5" xfId="0" applyFont="1" applyBorder="1" applyAlignment="1">
      <alignment vertical="center" wrapText="1"/>
    </xf>
    <xf numFmtId="0" fontId="9" fillId="0" borderId="8" xfId="0" applyFont="1" applyBorder="1" applyAlignment="1">
      <alignment vertical="center" wrapText="1"/>
    </xf>
    <xf numFmtId="0" fontId="11" fillId="0" borderId="5" xfId="0" applyFont="1" applyBorder="1" applyAlignment="1">
      <alignment vertical="center" wrapText="1"/>
    </xf>
    <xf numFmtId="0" fontId="9" fillId="0" borderId="2" xfId="0" applyFont="1" applyBorder="1" applyAlignment="1">
      <alignment horizontal="left" vertical="center" indent="1"/>
    </xf>
    <xf numFmtId="0" fontId="9" fillId="0" borderId="2" xfId="0" applyFont="1" applyBorder="1" applyAlignment="1">
      <alignment horizontal="left" vertical="center"/>
    </xf>
    <xf numFmtId="164" fontId="9" fillId="8" borderId="2" xfId="1" applyNumberFormat="1" applyFont="1" applyFill="1" applyBorder="1" applyAlignment="1">
      <alignment horizontal="right" vertical="center"/>
    </xf>
    <xf numFmtId="164" fontId="9" fillId="10" borderId="2" xfId="1" applyNumberFormat="1" applyFont="1" applyFill="1" applyBorder="1" applyAlignment="1">
      <alignment horizontal="right" vertical="center"/>
    </xf>
    <xf numFmtId="164" fontId="9" fillId="8" borderId="3" xfId="1" applyNumberFormat="1" applyFont="1" applyFill="1" applyBorder="1" applyAlignment="1">
      <alignment horizontal="right" vertical="center"/>
    </xf>
    <xf numFmtId="164" fontId="9" fillId="10" borderId="3" xfId="1" applyNumberFormat="1" applyFont="1" applyFill="1" applyBorder="1" applyAlignment="1">
      <alignment horizontal="right" vertical="center"/>
    </xf>
    <xf numFmtId="0" fontId="16" fillId="2" borderId="10" xfId="0" applyFont="1" applyFill="1" applyBorder="1" applyAlignment="1">
      <alignment horizontal="right" vertical="center"/>
    </xf>
    <xf numFmtId="164" fontId="9" fillId="8" borderId="9" xfId="1" applyNumberFormat="1" applyFont="1" applyFill="1" applyBorder="1" applyAlignment="1">
      <alignment horizontal="right" vertical="center"/>
    </xf>
    <xf numFmtId="164" fontId="9" fillId="10" borderId="9" xfId="1" applyNumberFormat="1" applyFont="1" applyFill="1" applyBorder="1" applyAlignment="1">
      <alignment horizontal="right" vertical="center"/>
    </xf>
    <xf numFmtId="0" fontId="12" fillId="2" borderId="1" xfId="0" applyFont="1" applyFill="1" applyBorder="1" applyAlignment="1">
      <alignment horizontal="left" vertical="center"/>
    </xf>
    <xf numFmtId="0" fontId="9" fillId="0" borderId="5" xfId="0" applyFont="1" applyFill="1" applyBorder="1" applyAlignment="1">
      <alignment vertical="center"/>
    </xf>
    <xf numFmtId="0" fontId="12" fillId="0" borderId="0" xfId="0" applyFont="1" applyFill="1"/>
    <xf numFmtId="0" fontId="11" fillId="6" borderId="1" xfId="0" applyFont="1" applyFill="1" applyBorder="1" applyAlignment="1">
      <alignment horizontal="center"/>
    </xf>
    <xf numFmtId="0" fontId="11" fillId="11" borderId="1" xfId="0" applyFont="1" applyFill="1" applyBorder="1" applyAlignment="1">
      <alignment horizontal="left" vertical="top" wrapText="1"/>
    </xf>
    <xf numFmtId="164" fontId="9" fillId="8" borderId="1" xfId="1" applyNumberFormat="1" applyFont="1" applyFill="1" applyBorder="1" applyAlignment="1">
      <alignment vertical="center"/>
    </xf>
    <xf numFmtId="9" fontId="9" fillId="8" borderId="1" xfId="3"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xf numFmtId="0" fontId="9" fillId="15" borderId="1" xfId="0" applyFont="1" applyFill="1" applyBorder="1" applyAlignment="1">
      <alignment vertical="center" wrapText="1"/>
    </xf>
    <xf numFmtId="0" fontId="9" fillId="15" borderId="1" xfId="0" applyFont="1" applyFill="1" applyBorder="1" applyAlignment="1">
      <alignment vertical="center"/>
    </xf>
    <xf numFmtId="165" fontId="9" fillId="15" borderId="1" xfId="2" applyNumberFormat="1" applyFont="1" applyFill="1" applyBorder="1" applyAlignment="1">
      <alignment vertical="center"/>
    </xf>
    <xf numFmtId="0" fontId="9" fillId="15" borderId="1" xfId="0" applyFont="1" applyFill="1" applyBorder="1" applyAlignment="1">
      <alignment vertical="top"/>
    </xf>
    <xf numFmtId="44" fontId="11" fillId="10" borderId="1" xfId="2" applyFont="1" applyFill="1" applyBorder="1" applyAlignment="1">
      <alignment vertical="center"/>
    </xf>
    <xf numFmtId="44" fontId="9" fillId="10" borderId="1" xfId="2" applyFont="1" applyFill="1" applyBorder="1"/>
    <xf numFmtId="0" fontId="9" fillId="0" borderId="0" xfId="0" applyFont="1" applyFill="1" applyBorder="1" applyAlignment="1">
      <alignment horizontal="right" vertical="center"/>
    </xf>
    <xf numFmtId="0" fontId="19" fillId="6" borderId="12" xfId="0" applyFont="1" applyFill="1" applyBorder="1"/>
    <xf numFmtId="0" fontId="9" fillId="0" borderId="11" xfId="0" applyFont="1" applyFill="1" applyBorder="1" applyAlignment="1">
      <alignment horizontal="left" vertical="center" indent="1"/>
    </xf>
    <xf numFmtId="0" fontId="9" fillId="0" borderId="11" xfId="0" applyFont="1" applyFill="1" applyBorder="1" applyAlignment="1">
      <alignment horizontal="right" vertical="center"/>
    </xf>
    <xf numFmtId="0" fontId="9" fillId="11" borderId="13" xfId="0" applyFont="1" applyFill="1" applyBorder="1" applyAlignment="1">
      <alignment horizontal="left" vertical="center" indent="1"/>
    </xf>
    <xf numFmtId="0" fontId="9" fillId="0" borderId="11" xfId="0" applyFont="1" applyFill="1" applyBorder="1" applyAlignment="1">
      <alignment horizontal="left" vertical="center" indent="2"/>
    </xf>
    <xf numFmtId="164" fontId="9" fillId="0" borderId="11" xfId="1" applyNumberFormat="1" applyFont="1" applyFill="1" applyBorder="1" applyAlignment="1">
      <alignment horizontal="right" vertical="center"/>
    </xf>
    <xf numFmtId="9" fontId="9" fillId="0" borderId="11" xfId="0" applyNumberFormat="1" applyFont="1" applyFill="1" applyBorder="1" applyAlignment="1">
      <alignment vertical="center"/>
    </xf>
    <xf numFmtId="164" fontId="9" fillId="0" borderId="11" xfId="1" applyNumberFormat="1" applyFont="1" applyFill="1" applyBorder="1" applyAlignment="1">
      <alignment vertical="center"/>
    </xf>
    <xf numFmtId="0" fontId="14" fillId="0" borderId="11" xfId="0" applyFont="1" applyFill="1" applyBorder="1" applyAlignment="1">
      <alignment horizontal="left" vertical="center" indent="2"/>
    </xf>
    <xf numFmtId="0" fontId="14" fillId="0" borderId="11" xfId="0" applyFont="1" applyFill="1" applyBorder="1" applyAlignment="1">
      <alignment horizontal="right" vertical="center"/>
    </xf>
    <xf numFmtId="0" fontId="32" fillId="0" borderId="0" xfId="0" applyFont="1"/>
    <xf numFmtId="44" fontId="9" fillId="10" borderId="9" xfId="2" applyFont="1" applyFill="1" applyBorder="1" applyAlignment="1">
      <alignment vertical="center"/>
    </xf>
    <xf numFmtId="44" fontId="9" fillId="10" borderId="3" xfId="2" applyFont="1" applyFill="1" applyBorder="1" applyAlignment="1">
      <alignment vertical="center"/>
    </xf>
    <xf numFmtId="44" fontId="9" fillId="10" borderId="1" xfId="2" applyFont="1" applyFill="1" applyBorder="1" applyAlignment="1">
      <alignment vertical="center"/>
    </xf>
    <xf numFmtId="44" fontId="9" fillId="10" borderId="1" xfId="2" applyFont="1" applyFill="1" applyBorder="1" applyAlignment="1">
      <alignment horizontal="right" vertical="center" wrapText="1"/>
    </xf>
    <xf numFmtId="44" fontId="9" fillId="10" borderId="7" xfId="2" applyFont="1" applyFill="1" applyBorder="1" applyAlignment="1">
      <alignment horizontal="right" vertical="center" wrapText="1"/>
    </xf>
    <xf numFmtId="44" fontId="9" fillId="10" borderId="10" xfId="2" applyFont="1" applyFill="1" applyBorder="1" applyAlignment="1">
      <alignment vertical="center"/>
    </xf>
    <xf numFmtId="44" fontId="9" fillId="10" borderId="1" xfId="2" applyFont="1" applyFill="1" applyBorder="1" applyAlignment="1">
      <alignment vertical="center" wrapText="1"/>
    </xf>
    <xf numFmtId="44" fontId="11" fillId="10" borderId="1" xfId="2" applyFont="1" applyFill="1" applyBorder="1" applyAlignment="1">
      <alignment vertical="center" wrapText="1"/>
    </xf>
    <xf numFmtId="0" fontId="18" fillId="2" borderId="0" xfId="0" applyFont="1" applyFill="1" applyBorder="1" applyAlignment="1">
      <alignment vertical="center"/>
    </xf>
    <xf numFmtId="0" fontId="33" fillId="2" borderId="0" xfId="0" applyFont="1" applyFill="1" applyBorder="1" applyAlignment="1">
      <alignment vertical="center"/>
    </xf>
    <xf numFmtId="0" fontId="22" fillId="0" borderId="0" xfId="0" applyFont="1" applyFill="1" applyBorder="1" applyAlignment="1">
      <alignment horizontal="right" vertical="center"/>
    </xf>
    <xf numFmtId="0" fontId="11" fillId="0" borderId="0" xfId="0" applyFont="1" applyFill="1" applyBorder="1" applyAlignment="1">
      <alignment horizontal="left" indent="1"/>
    </xf>
    <xf numFmtId="44" fontId="9" fillId="0" borderId="0" xfId="2" applyFont="1" applyFill="1" applyBorder="1" applyAlignment="1">
      <alignment horizontal="right" vertical="center"/>
    </xf>
    <xf numFmtId="0" fontId="9" fillId="11" borderId="13" xfId="0" applyFont="1" applyFill="1" applyBorder="1" applyAlignment="1">
      <alignment horizontal="left" vertical="center" indent="2"/>
    </xf>
    <xf numFmtId="0" fontId="9" fillId="0" borderId="11" xfId="0" applyFont="1" applyFill="1" applyBorder="1" applyAlignment="1">
      <alignment horizontal="left" vertical="center" indent="3"/>
    </xf>
    <xf numFmtId="0" fontId="11" fillId="11" borderId="13" xfId="0" applyFont="1" applyFill="1" applyBorder="1" applyAlignment="1">
      <alignment horizontal="left" vertical="center"/>
    </xf>
    <xf numFmtId="0" fontId="11" fillId="11" borderId="13" xfId="0" applyFont="1" applyFill="1" applyBorder="1" applyAlignment="1">
      <alignment horizontal="left" vertical="center" indent="1"/>
    </xf>
    <xf numFmtId="0" fontId="11" fillId="11" borderId="11" xfId="0" applyFont="1" applyFill="1" applyBorder="1" applyAlignment="1">
      <alignment horizontal="left" vertical="center"/>
    </xf>
    <xf numFmtId="0" fontId="11" fillId="0" borderId="7" xfId="0" applyFont="1" applyBorder="1" applyAlignment="1">
      <alignment horizontal="left" indent="1"/>
    </xf>
    <xf numFmtId="44" fontId="25" fillId="10" borderId="7" xfId="2" applyFont="1" applyFill="1" applyBorder="1" applyAlignment="1">
      <alignment horizontal="right"/>
    </xf>
    <xf numFmtId="0" fontId="11" fillId="0" borderId="11" xfId="0" applyFont="1" applyBorder="1" applyAlignment="1">
      <alignment horizontal="left" indent="1"/>
    </xf>
    <xf numFmtId="0" fontId="9" fillId="0" borderId="7" xfId="0" applyFont="1" applyBorder="1" applyAlignment="1">
      <alignment horizontal="left"/>
    </xf>
    <xf numFmtId="0" fontId="9" fillId="0" borderId="11" xfId="0" applyFont="1" applyBorder="1" applyAlignment="1">
      <alignment horizontal="left" indent="1"/>
    </xf>
    <xf numFmtId="0" fontId="9" fillId="0" borderId="11" xfId="0" applyFont="1" applyBorder="1" applyAlignment="1">
      <alignment horizontal="left"/>
    </xf>
    <xf numFmtId="44" fontId="9" fillId="10" borderId="7" xfId="2" applyFont="1" applyFill="1" applyBorder="1" applyAlignment="1">
      <alignment vertical="center"/>
    </xf>
    <xf numFmtId="44" fontId="9" fillId="10" borderId="11" xfId="2" applyFont="1" applyFill="1" applyBorder="1" applyAlignment="1">
      <alignment vertical="center"/>
    </xf>
    <xf numFmtId="44" fontId="24" fillId="10" borderId="1" xfId="2" applyFont="1" applyFill="1" applyBorder="1" applyAlignment="1">
      <alignment horizontal="right" vertical="center"/>
    </xf>
    <xf numFmtId="0" fontId="9" fillId="0" borderId="2" xfId="0" applyFont="1" applyBorder="1" applyAlignment="1">
      <alignment vertical="center"/>
    </xf>
    <xf numFmtId="0" fontId="19" fillId="11" borderId="7" xfId="0" applyFont="1" applyFill="1" applyBorder="1" applyAlignment="1">
      <alignment vertical="center"/>
    </xf>
    <xf numFmtId="0" fontId="9" fillId="0" borderId="11" xfId="0" applyFont="1" applyBorder="1" applyAlignment="1">
      <alignment vertical="center"/>
    </xf>
    <xf numFmtId="0" fontId="9" fillId="0" borderId="2" xfId="0" applyFont="1" applyBorder="1" applyAlignment="1">
      <alignment horizontal="left"/>
    </xf>
    <xf numFmtId="0" fontId="14" fillId="10" borderId="11" xfId="0" applyFont="1" applyFill="1" applyBorder="1" applyAlignment="1">
      <alignment horizontal="right"/>
    </xf>
    <xf numFmtId="0" fontId="32" fillId="0" borderId="0" xfId="0" applyFont="1" applyFill="1" applyBorder="1" applyAlignment="1">
      <alignment vertical="center"/>
    </xf>
    <xf numFmtId="0" fontId="9" fillId="10" borderId="0" xfId="0" applyFont="1" applyFill="1" applyBorder="1" applyAlignment="1">
      <alignment vertical="center"/>
    </xf>
    <xf numFmtId="0" fontId="17" fillId="2" borderId="0" xfId="0" applyFont="1" applyFill="1" applyBorder="1" applyAlignment="1">
      <alignment horizontal="left"/>
    </xf>
    <xf numFmtId="44" fontId="9" fillId="0" borderId="0" xfId="0" applyNumberFormat="1" applyFont="1"/>
    <xf numFmtId="0" fontId="11" fillId="11" borderId="13" xfId="0" applyFont="1" applyFill="1" applyBorder="1" applyAlignment="1">
      <alignment horizontal="left" vertical="center" indent="2"/>
    </xf>
    <xf numFmtId="0" fontId="9" fillId="11" borderId="13" xfId="0" applyFont="1" applyFill="1" applyBorder="1" applyAlignment="1">
      <alignment horizontal="left" vertical="center" indent="3"/>
    </xf>
    <xf numFmtId="0" fontId="9" fillId="0" borderId="11" xfId="0" applyFont="1" applyFill="1" applyBorder="1" applyAlignment="1">
      <alignment horizontal="left" vertical="center" indent="4"/>
    </xf>
    <xf numFmtId="0" fontId="24" fillId="0" borderId="0" xfId="0" applyFont="1"/>
    <xf numFmtId="0" fontId="11" fillId="0" borderId="7" xfId="0" applyFont="1" applyFill="1" applyBorder="1" applyAlignment="1">
      <alignment vertical="center"/>
    </xf>
    <xf numFmtId="164" fontId="9" fillId="10" borderId="7" xfId="1" applyNumberFormat="1" applyFont="1" applyFill="1" applyBorder="1" applyAlignment="1">
      <alignment horizontal="right" vertical="center"/>
    </xf>
    <xf numFmtId="0" fontId="11" fillId="0" borderId="11" xfId="0" applyFont="1" applyFill="1" applyBorder="1" applyAlignment="1">
      <alignment vertical="center"/>
    </xf>
    <xf numFmtId="164" fontId="9" fillId="10" borderId="11" xfId="1" applyNumberFormat="1" applyFont="1" applyFill="1" applyBorder="1" applyAlignment="1">
      <alignment horizontal="right" vertical="center"/>
    </xf>
    <xf numFmtId="169" fontId="0" fillId="0" borderId="11" xfId="0" applyNumberFormat="1" applyBorder="1" applyAlignment="1">
      <alignment horizontal="center"/>
    </xf>
    <xf numFmtId="14" fontId="0" fillId="0" borderId="11" xfId="0" applyNumberFormat="1" applyBorder="1" applyAlignment="1">
      <alignment horizontal="right"/>
    </xf>
    <xf numFmtId="0" fontId="0" fillId="0" borderId="11" xfId="0" applyBorder="1"/>
    <xf numFmtId="0" fontId="0" fillId="6" borderId="11" xfId="0" applyFill="1" applyBorder="1" applyAlignment="1">
      <alignment horizontal="center"/>
    </xf>
    <xf numFmtId="0" fontId="24" fillId="0" borderId="0" xfId="0" applyFont="1" applyAlignment="1">
      <alignment vertical="top"/>
    </xf>
    <xf numFmtId="0" fontId="32" fillId="2" borderId="0" xfId="0" applyFont="1" applyFill="1"/>
    <xf numFmtId="0" fontId="6" fillId="0" borderId="0" xfId="4" applyFill="1"/>
    <xf numFmtId="0" fontId="32" fillId="2" borderId="0" xfId="0" applyFont="1" applyFill="1" applyBorder="1" applyAlignment="1">
      <alignment vertical="center"/>
    </xf>
    <xf numFmtId="0" fontId="9" fillId="3" borderId="1" xfId="0" applyFont="1" applyFill="1" applyBorder="1" applyAlignment="1" applyProtection="1">
      <alignment horizontal="right" vertical="center"/>
      <protection locked="0"/>
    </xf>
    <xf numFmtId="164" fontId="9" fillId="3" borderId="1" xfId="1" applyNumberFormat="1" applyFont="1" applyFill="1" applyBorder="1" applyAlignment="1" applyProtection="1">
      <alignment horizontal="right" vertical="center"/>
      <protection locked="0"/>
    </xf>
    <xf numFmtId="9" fontId="9" fillId="3" borderId="1" xfId="3" applyFont="1" applyFill="1" applyBorder="1" applyAlignment="1" applyProtection="1">
      <alignment horizontal="right" vertical="center"/>
      <protection locked="0"/>
    </xf>
    <xf numFmtId="164" fontId="9" fillId="15" borderId="3" xfId="1" applyNumberFormat="1" applyFont="1" applyFill="1" applyBorder="1" applyAlignment="1" applyProtection="1">
      <alignment horizontal="right"/>
      <protection locked="0"/>
    </xf>
    <xf numFmtId="164" fontId="9" fillId="15" borderId="1" xfId="1" applyNumberFormat="1" applyFont="1" applyFill="1" applyBorder="1" applyAlignment="1" applyProtection="1">
      <alignment horizontal="right"/>
      <protection locked="0"/>
    </xf>
    <xf numFmtId="0" fontId="9" fillId="15" borderId="3" xfId="0" applyFont="1" applyFill="1" applyBorder="1" applyAlignment="1" applyProtection="1">
      <alignment horizontal="right"/>
      <protection locked="0"/>
    </xf>
    <xf numFmtId="0" fontId="9" fillId="15" borderId="1" xfId="0" applyFont="1" applyFill="1" applyBorder="1" applyAlignment="1" applyProtection="1">
      <alignment horizontal="right"/>
      <protection locked="0"/>
    </xf>
    <xf numFmtId="164" fontId="9" fillId="15" borderId="1" xfId="1" applyNumberFormat="1" applyFont="1" applyFill="1" applyBorder="1" applyAlignment="1" applyProtection="1">
      <alignment horizontal="right" vertical="center"/>
      <protection locked="0"/>
    </xf>
    <xf numFmtId="44" fontId="25" fillId="15" borderId="11" xfId="2" applyFont="1" applyFill="1" applyBorder="1" applyAlignment="1" applyProtection="1">
      <alignment horizontal="right"/>
      <protection locked="0"/>
    </xf>
    <xf numFmtId="164" fontId="9" fillId="15" borderId="1" xfId="1" applyNumberFormat="1" applyFont="1" applyFill="1" applyBorder="1" applyProtection="1">
      <protection locked="0"/>
    </xf>
    <xf numFmtId="0" fontId="14" fillId="3" borderId="11" xfId="0" applyFont="1" applyFill="1" applyBorder="1" applyAlignment="1" applyProtection="1">
      <alignment horizontal="right"/>
      <protection locked="0"/>
    </xf>
    <xf numFmtId="164" fontId="14" fillId="3" borderId="11" xfId="1" applyNumberFormat="1" applyFont="1" applyFill="1" applyBorder="1" applyProtection="1">
      <protection locked="0"/>
    </xf>
    <xf numFmtId="44" fontId="23" fillId="3" borderId="1" xfId="2" applyFont="1" applyFill="1" applyBorder="1" applyAlignment="1" applyProtection="1">
      <alignment horizontal="right"/>
      <protection locked="0"/>
    </xf>
    <xf numFmtId="44" fontId="25" fillId="3" borderId="1" xfId="2" applyFont="1" applyFill="1" applyBorder="1" applyAlignment="1" applyProtection="1">
      <alignment horizontal="right"/>
      <protection locked="0"/>
    </xf>
    <xf numFmtId="9" fontId="11" fillId="3" borderId="1" xfId="0" applyNumberFormat="1" applyFont="1" applyFill="1" applyBorder="1" applyAlignment="1" applyProtection="1">
      <alignment horizontal="right"/>
      <protection locked="0"/>
    </xf>
    <xf numFmtId="9" fontId="11" fillId="3" borderId="1" xfId="0" applyNumberFormat="1" applyFont="1" applyFill="1" applyBorder="1" applyProtection="1">
      <protection locked="0"/>
    </xf>
    <xf numFmtId="22" fontId="9" fillId="0" borderId="0" xfId="0" applyNumberFormat="1" applyFont="1" applyProtection="1">
      <protection locked="0"/>
    </xf>
    <xf numFmtId="0" fontId="20" fillId="3" borderId="1" xfId="0" applyFont="1" applyFill="1" applyBorder="1" applyAlignment="1" applyProtection="1">
      <alignment horizontal="right" vertical="center" wrapText="1" readingOrder="1"/>
      <protection locked="0"/>
    </xf>
    <xf numFmtId="165" fontId="9" fillId="3" borderId="1" xfId="2" applyNumberFormat="1" applyFont="1" applyFill="1" applyBorder="1" applyAlignment="1" applyProtection="1">
      <alignment horizontal="right" vertical="center"/>
      <protection locked="0"/>
    </xf>
    <xf numFmtId="44" fontId="9" fillId="3" borderId="1" xfId="2" applyFont="1" applyFill="1" applyBorder="1" applyAlignment="1" applyProtection="1">
      <alignment vertical="center"/>
      <protection locked="0"/>
    </xf>
    <xf numFmtId="44" fontId="9" fillId="3" borderId="1" xfId="2" applyFont="1" applyFill="1" applyBorder="1" applyProtection="1">
      <protection locked="0"/>
    </xf>
    <xf numFmtId="44" fontId="9" fillId="3" borderId="9" xfId="2" applyFont="1" applyFill="1" applyBorder="1" applyAlignment="1" applyProtection="1">
      <alignment vertical="center"/>
      <protection locked="0"/>
    </xf>
    <xf numFmtId="44" fontId="9" fillId="3" borderId="3" xfId="2" applyFont="1" applyFill="1" applyBorder="1" applyAlignment="1" applyProtection="1">
      <alignment vertical="center"/>
      <protection locked="0"/>
    </xf>
    <xf numFmtId="44" fontId="9" fillId="15" borderId="1" xfId="2" applyFont="1" applyFill="1" applyBorder="1" applyAlignment="1" applyProtection="1">
      <alignment vertical="center"/>
      <protection locked="0"/>
    </xf>
    <xf numFmtId="166" fontId="9" fillId="15" borderId="11" xfId="1" applyNumberFormat="1" applyFont="1" applyFill="1" applyBorder="1" applyAlignment="1" applyProtection="1">
      <alignment vertical="center"/>
      <protection locked="0"/>
    </xf>
    <xf numFmtId="22" fontId="11" fillId="0" borderId="0" xfId="0" applyNumberFormat="1" applyFont="1" applyProtection="1">
      <protection locked="0"/>
    </xf>
    <xf numFmtId="164" fontId="9" fillId="3" borderId="2" xfId="1" applyNumberFormat="1" applyFont="1" applyFill="1" applyBorder="1" applyAlignment="1" applyProtection="1">
      <alignment horizontal="right" vertical="center"/>
      <protection locked="0"/>
    </xf>
    <xf numFmtId="164" fontId="9" fillId="3" borderId="9" xfId="1" applyNumberFormat="1" applyFont="1" applyFill="1" applyBorder="1" applyAlignment="1" applyProtection="1">
      <alignment horizontal="right" vertical="center"/>
      <protection locked="0"/>
    </xf>
    <xf numFmtId="164" fontId="9" fillId="3" borderId="3" xfId="1" applyNumberFormat="1" applyFont="1" applyFill="1" applyBorder="1" applyAlignment="1" applyProtection="1">
      <alignment horizontal="right" vertical="center"/>
      <protection locked="0"/>
    </xf>
    <xf numFmtId="44" fontId="9" fillId="3" borderId="2" xfId="2" applyFont="1" applyFill="1" applyBorder="1" applyAlignment="1" applyProtection="1">
      <alignment vertical="center"/>
      <protection locked="0"/>
    </xf>
    <xf numFmtId="0" fontId="9" fillId="3" borderId="1" xfId="0" applyFont="1" applyFill="1" applyBorder="1" applyAlignment="1" applyProtection="1">
      <alignment horizontal="right" wrapText="1"/>
      <protection locked="0"/>
    </xf>
    <xf numFmtId="9" fontId="9" fillId="3" borderId="1" xfId="3" applyFont="1" applyFill="1" applyBorder="1" applyAlignment="1" applyProtection="1">
      <alignment vertical="center"/>
      <protection locked="0"/>
    </xf>
    <xf numFmtId="164" fontId="9" fillId="15" borderId="2" xfId="1" applyNumberFormat="1" applyFont="1" applyFill="1" applyBorder="1" applyAlignment="1" applyProtection="1">
      <alignment horizontal="right" vertical="center"/>
      <protection locked="0"/>
    </xf>
    <xf numFmtId="164" fontId="9" fillId="15" borderId="9" xfId="1" applyNumberFormat="1" applyFont="1" applyFill="1" applyBorder="1" applyAlignment="1" applyProtection="1">
      <alignment horizontal="right" vertical="center"/>
      <protection locked="0"/>
    </xf>
    <xf numFmtId="164" fontId="9" fillId="15" borderId="3" xfId="1" applyNumberFormat="1" applyFont="1" applyFill="1" applyBorder="1" applyAlignment="1" applyProtection="1">
      <alignment horizontal="right" vertical="center"/>
      <protection locked="0"/>
    </xf>
    <xf numFmtId="0" fontId="9" fillId="15" borderId="1" xfId="0" applyFont="1" applyFill="1" applyBorder="1" applyAlignment="1" applyProtection="1">
      <alignment horizontal="right" vertical="center"/>
      <protection locked="0"/>
    </xf>
    <xf numFmtId="44" fontId="9" fillId="3" borderId="1" xfId="2" applyFont="1" applyFill="1" applyBorder="1" applyAlignment="1" applyProtection="1">
      <alignment horizontal="right" vertical="center"/>
      <protection locked="0"/>
    </xf>
    <xf numFmtId="44" fontId="9" fillId="15" borderId="1" xfId="2" applyFont="1" applyFill="1" applyBorder="1" applyAlignment="1" applyProtection="1">
      <alignment horizontal="right" vertical="center"/>
      <protection locked="0"/>
    </xf>
    <xf numFmtId="9" fontId="11" fillId="3" borderId="1" xfId="0" applyNumberFormat="1" applyFont="1" applyFill="1" applyBorder="1" applyAlignment="1" applyProtection="1">
      <alignment horizontal="right" vertical="center"/>
      <protection locked="0"/>
    </xf>
    <xf numFmtId="44" fontId="11" fillId="15" borderId="1" xfId="2" applyFont="1" applyFill="1" applyBorder="1" applyProtection="1">
      <protection locked="0"/>
    </xf>
    <xf numFmtId="9" fontId="9" fillId="15" borderId="1" xfId="0" applyNumberFormat="1" applyFont="1" applyFill="1" applyBorder="1" applyProtection="1">
      <protection locked="0"/>
    </xf>
    <xf numFmtId="0" fontId="26" fillId="0" borderId="0" xfId="0" applyFont="1" applyAlignment="1">
      <alignment vertical="center"/>
    </xf>
    <xf numFmtId="164" fontId="34" fillId="16" borderId="3" xfId="1" applyNumberFormat="1" applyFont="1" applyFill="1" applyBorder="1" applyAlignment="1" applyProtection="1">
      <alignment horizontal="right" vertical="center"/>
      <protection locked="0"/>
    </xf>
    <xf numFmtId="0" fontId="9" fillId="0" borderId="7" xfId="0" applyFont="1" applyBorder="1" applyAlignment="1">
      <alignment horizontal="left" indent="1"/>
    </xf>
    <xf numFmtId="0" fontId="0" fillId="0" borderId="11" xfId="0" applyBorder="1" applyAlignment="1">
      <alignment wrapText="1"/>
    </xf>
    <xf numFmtId="0" fontId="0" fillId="0" borderId="11" xfId="0" applyBorder="1" applyAlignment="1">
      <alignment horizontal="center" vertical="center"/>
    </xf>
    <xf numFmtId="0" fontId="19" fillId="11" borderId="2" xfId="0" applyFont="1" applyFill="1" applyBorder="1" applyAlignment="1">
      <alignment vertical="center"/>
    </xf>
    <xf numFmtId="0" fontId="19" fillId="11" borderId="14" xfId="0" applyFont="1" applyFill="1" applyBorder="1" applyAlignment="1">
      <alignment vertical="center"/>
    </xf>
    <xf numFmtId="0" fontId="9" fillId="0" borderId="15" xfId="0" applyFont="1" applyBorder="1" applyAlignment="1">
      <alignment vertical="center"/>
    </xf>
    <xf numFmtId="0" fontId="19" fillId="11" borderId="11" xfId="0" applyFont="1" applyFill="1" applyBorder="1" applyAlignment="1">
      <alignment vertical="center"/>
    </xf>
    <xf numFmtId="14" fontId="0" fillId="0" borderId="11" xfId="0" applyNumberFormat="1" applyBorder="1" applyAlignment="1">
      <alignment horizontal="right" vertical="center"/>
    </xf>
    <xf numFmtId="0" fontId="14" fillId="15" borderId="11" xfId="0" applyFont="1" applyFill="1" applyBorder="1" applyAlignment="1" applyProtection="1">
      <alignment horizontal="right"/>
      <protection locked="0"/>
    </xf>
    <xf numFmtId="0" fontId="9" fillId="3" borderId="1" xfId="0" applyFont="1" applyFill="1" applyBorder="1" applyAlignment="1" applyProtection="1">
      <alignment horizontal="right"/>
      <protection locked="0"/>
    </xf>
    <xf numFmtId="164" fontId="23" fillId="3" borderId="1" xfId="1" applyNumberFormat="1" applyFont="1" applyFill="1" applyBorder="1" applyProtection="1">
      <protection locked="0"/>
    </xf>
    <xf numFmtId="164" fontId="9" fillId="8" borderId="11" xfId="1" applyNumberFormat="1" applyFont="1" applyFill="1" applyBorder="1" applyAlignment="1">
      <alignment horizontal="right" vertical="center"/>
    </xf>
    <xf numFmtId="164" fontId="23" fillId="3" borderId="1" xfId="1" applyNumberFormat="1" applyFont="1" applyFill="1" applyBorder="1" applyAlignment="1" applyProtection="1">
      <alignment horizontal="right" vertical="center"/>
      <protection locked="0"/>
    </xf>
    <xf numFmtId="0" fontId="7" fillId="11" borderId="0" xfId="0" applyFont="1" applyFill="1" applyBorder="1" applyAlignment="1">
      <alignment horizontal="left" vertical="center" wrapText="1"/>
    </xf>
    <xf numFmtId="0" fontId="9" fillId="11" borderId="0" xfId="0" applyFont="1" applyFill="1" applyBorder="1" applyAlignment="1">
      <alignment horizontal="left" vertical="center" wrapText="1"/>
    </xf>
    <xf numFmtId="0" fontId="8" fillId="11" borderId="0" xfId="0" applyFont="1" applyFill="1" applyBorder="1" applyAlignment="1">
      <alignment horizontal="left" vertical="center" wrapText="1"/>
    </xf>
    <xf numFmtId="0" fontId="7" fillId="11" borderId="0" xfId="0" applyFont="1" applyFill="1" applyAlignment="1">
      <alignment horizontal="left" vertical="center"/>
    </xf>
    <xf numFmtId="0" fontId="8" fillId="11" borderId="0" xfId="0" applyFont="1" applyFill="1" applyAlignment="1">
      <alignment horizontal="left" vertical="center"/>
    </xf>
    <xf numFmtId="0" fontId="8" fillId="11" borderId="0" xfId="0" applyFont="1" applyFill="1" applyAlignment="1">
      <alignment horizontal="left"/>
    </xf>
    <xf numFmtId="0" fontId="12" fillId="3" borderId="0" xfId="0" applyFont="1" applyFill="1" applyBorder="1" applyAlignment="1">
      <alignment horizontal="left" vertical="top" wrapText="1"/>
    </xf>
    <xf numFmtId="0" fontId="9" fillId="0" borderId="1" xfId="0" applyFont="1" applyBorder="1" applyAlignment="1">
      <alignment horizontal="left" vertical="center" wrapText="1"/>
    </xf>
  </cellXfs>
  <cellStyles count="5">
    <cellStyle name="Comma" xfId="1" builtinId="3"/>
    <cellStyle name="Currency" xfId="2" builtinId="4"/>
    <cellStyle name="Hyperlink" xfId="4" builtinId="8"/>
    <cellStyle name="Normal" xfId="0" builtinId="0"/>
    <cellStyle name="Percent" xfId="3" builtinId="5"/>
  </cellStyles>
  <dxfs count="215">
    <dxf>
      <font>
        <color theme="1" tint="0.499984740745262"/>
      </font>
      <fill>
        <patternFill>
          <bgColor theme="1" tint="0.499984740745262"/>
        </patternFill>
      </fill>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numFmt numFmtId="178" formatCode="[$NZD]\ #,##0_);[Red]\([$NZD]\ #,##0\)"/>
    </dxf>
    <dxf>
      <numFmt numFmtId="179" formatCode="[$AUD]\ #,##0_);[Red]\([$AUD]\ #,##0\)"/>
    </dxf>
    <dxf>
      <numFmt numFmtId="180" formatCode="[$EUR]\ #,##0_);[Red]\([$EUR]\ #,##0\)"/>
    </dxf>
    <dxf>
      <numFmt numFmtId="181" formatCode="[$GBP]\ #,##0_);[Red]\([$GBP]\ #,##0\)"/>
    </dxf>
    <dxf>
      <numFmt numFmtId="182" formatCode="[$HKD]\ #,##0_);[Red]\([$HKD]\ #,##0\)"/>
    </dxf>
    <dxf>
      <numFmt numFmtId="183" formatCode="[$CAD]\ #,##0_);[Red]\([$CAD]\ #,##0\)"/>
    </dxf>
    <dxf>
      <numFmt numFmtId="184" formatCode="[$JPY]\ #,##0_);[Red]\([$JPY]\ #,##0\)"/>
    </dxf>
    <dxf>
      <numFmt numFmtId="185" formatCode="[$DKK]\ #,##0_);[Red]\([$DKK]\ #,##0\)"/>
    </dxf>
    <dxf>
      <fill>
        <patternFill>
          <bgColor rgb="FFFFCCFF"/>
        </patternFill>
      </fill>
    </dxf>
    <dxf>
      <font>
        <color theme="1" tint="0.499984740745262"/>
      </font>
      <fill>
        <patternFill>
          <bgColor theme="1" tint="0.499984740745262"/>
        </patternFill>
      </fill>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7" formatCode="[$DKK]\ #,##0.00_);[Red]\([$DKK]\ #,##0.00\)"/>
    </dxf>
    <dxf>
      <numFmt numFmtId="173" formatCode="[$GBP]\ #,##0.00_);[Red]\([$GBP]\ #,##0.00\)"/>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3" formatCode="[$GBP]\ #,##0.00_);[Red]\([$GBP]\ #,##0.00\)"/>
    </dxf>
    <dxf>
      <numFmt numFmtId="177" formatCode="[$DKK]\ #,##0.00_);[Red]\([$DKK]\ #,##0.00\)"/>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numFmt numFmtId="170" formatCode="[$NZD]\ #,##0.00_);[Red]\([$NZD]\ #,##0.00\)"/>
    </dxf>
    <dxf>
      <numFmt numFmtId="171" formatCode="[$AUD]\ #,##0.00_);[Red]\([$AUD]\ #,##0.00\)"/>
    </dxf>
    <dxf>
      <numFmt numFmtId="172" formatCode="[$EUR]\ #,##0.00_);[Red]\([$EUR]\ #,##0.00\)"/>
    </dxf>
    <dxf>
      <numFmt numFmtId="173" formatCode="[$GBP]\ #,##0.00_);[Red]\([$GBP]\ #,##0.00\)"/>
    </dxf>
    <dxf>
      <numFmt numFmtId="174" formatCode="[$HKD]\ #,##0.00_);[Red]\([$HKD]\ #,##0.00\)"/>
    </dxf>
    <dxf>
      <numFmt numFmtId="175" formatCode="[$CAD]\ #,##0.00_);[Red]\([$CAD]\ #,##0.00\)"/>
    </dxf>
    <dxf>
      <numFmt numFmtId="176" formatCode="[$JPY]\ #,##0.00_);[Red]\([$JPY]\ #,##0.00\)"/>
    </dxf>
    <dxf>
      <numFmt numFmtId="177" formatCode="[$DKK]\ #,##0.00_);[Red]\([$DKK]\ #,##0.00\)"/>
    </dxf>
    <dxf>
      <font>
        <color theme="1" tint="0.499984740745262"/>
      </font>
      <fill>
        <patternFill>
          <bgColor theme="1" tint="0.499984740745262"/>
        </patternFill>
      </fill>
    </dxf>
    <dxf>
      <font>
        <color theme="1" tint="0.499984740745262"/>
      </font>
      <fill>
        <patternFill>
          <bgColor theme="1" tint="0.499984740745262"/>
        </patternFill>
      </fill>
    </dxf>
    <dxf>
      <numFmt numFmtId="173" formatCode="[$GBP]\ #,##0.00_);[Red]\([$GBP]\ #,##0.00\)"/>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7" formatCode="[$DKK]\ #,##0.00_);[Red]\([$DKK]\ #,##0.00\)"/>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numFmt numFmtId="173" formatCode="[$GBP]\ #,##0.00_);[Red]\([$GBP]\ #,##0.00\)"/>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7" formatCode="[$DKK]\ #,##0.00_);[Red]\([$DKK]\ #,##0.00\)"/>
    </dxf>
    <dxf>
      <fill>
        <patternFill>
          <bgColor rgb="FFFFCCFF"/>
        </patternFill>
      </fill>
    </dxf>
    <dxf>
      <fill>
        <patternFill>
          <bgColor rgb="FFFFCCFF"/>
        </patternFill>
      </fill>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7" formatCode="[$DKK]\ #,##0.00_);[Red]\([$DKK]\ #,##0.00\)"/>
    </dxf>
    <dxf>
      <numFmt numFmtId="173" formatCode="[$GBP]\ #,##0.00_);[Red]\([$GBP]\ #,##0.00\)"/>
    </dxf>
    <dxf>
      <font>
        <color theme="1" tint="0.499984740745262"/>
      </font>
      <fill>
        <patternFill>
          <bgColor theme="1" tint="0.499984740745262"/>
        </patternFill>
      </fill>
    </dxf>
    <dxf>
      <font>
        <color auto="1"/>
      </font>
      <fill>
        <patternFill>
          <bgColor rgb="FFFFFF00"/>
        </patternFill>
      </fill>
    </dxf>
    <dxf>
      <font>
        <color theme="1" tint="0.499984740745262"/>
      </font>
      <fill>
        <patternFill>
          <bgColor theme="1" tint="0.499984740745262"/>
        </patternFill>
      </fill>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7" formatCode="[$DKK]\ #,##0.00_);[Red]\([$DKK]\ #,##0.00\)"/>
    </dxf>
    <dxf>
      <numFmt numFmtId="173" formatCode="[$GBP]\ #,##0.00_);[Red]\([$GBP]\ #,##0.00\)"/>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3" formatCode="[$GBP]\ #,##0.00_);[Red]\([$GBP]\ #,##0.00\)"/>
    </dxf>
    <dxf>
      <numFmt numFmtId="177" formatCode="[$DKK]\ #,##0.00_);[Red]\([$DKK]\ #,##0.00\)"/>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3" formatCode="[$GBP]\ #,##0.00_);[Red]\([$GBP]\ #,##0.00\)"/>
    </dxf>
    <dxf>
      <numFmt numFmtId="177" formatCode="[$DKK]\ #,##0.00_);[Red]\([$DKK]\ #,##0.00\)"/>
    </dxf>
    <dxf>
      <font>
        <color theme="1" tint="0.499984740745262"/>
      </font>
      <fill>
        <patternFill>
          <bgColor theme="1" tint="0.499984740745262"/>
        </patternFill>
      </fill>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3" formatCode="[$GBP]\ #,##0.00_);[Red]\([$GBP]\ #,##0.00\)"/>
    </dxf>
    <dxf>
      <numFmt numFmtId="177" formatCode="[$DKK]\ #,##0.00_);[Red]\([$DKK]\ #,##0.00\)"/>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7" formatCode="[$DKK]\ #,##0.00_);[Red]\([$DKK]\ #,##0.00\)"/>
    </dxf>
    <dxf>
      <numFmt numFmtId="173" formatCode="[$GBP]\ #,##0.00_);[Red]\([$GBP]\ #,##0.00\)"/>
    </dxf>
    <dxf>
      <font>
        <color theme="1" tint="0.499984740745262"/>
      </font>
      <fill>
        <patternFill>
          <bgColor theme="1" tint="0.499984740745262"/>
        </patternFill>
      </fill>
    </dxf>
    <dxf>
      <numFmt numFmtId="170" formatCode="[$NZD]\ #,##0.00_);[Red]\([$NZD]\ #,##0.00\)"/>
    </dxf>
    <dxf>
      <numFmt numFmtId="171" formatCode="[$AUD]\ #,##0.00_);[Red]\([$AUD]\ #,##0.00\)"/>
    </dxf>
    <dxf>
      <numFmt numFmtId="172" formatCode="[$EUR]\ #,##0.00_);[Red]\([$EUR]\ #,##0.00\)"/>
    </dxf>
    <dxf>
      <numFmt numFmtId="174" formatCode="[$HKD]\ #,##0.00_);[Red]\([$HKD]\ #,##0.00\)"/>
    </dxf>
    <dxf>
      <numFmt numFmtId="175" formatCode="[$CAD]\ #,##0.00_);[Red]\([$CAD]\ #,##0.00\)"/>
    </dxf>
    <dxf>
      <numFmt numFmtId="176" formatCode="[$JPY]\ #,##0.00_);[Red]\([$JPY]\ #,##0.00\)"/>
    </dxf>
    <dxf>
      <numFmt numFmtId="177" formatCode="[$DKK]\ #,##0.00_);[Red]\([$DKK]\ #,##0.00\)"/>
    </dxf>
    <dxf>
      <numFmt numFmtId="173" formatCode="[$GBP]\ #,##0.00_);[Red]\([$GBP]\ #,##0.00\)"/>
    </dxf>
    <dxf>
      <font>
        <color theme="1" tint="0.499984740745262"/>
      </font>
      <fill>
        <patternFill>
          <bgColor theme="1" tint="0.499984740745262"/>
        </patternFill>
      </fill>
    </dxf>
    <dxf>
      <font>
        <color theme="1" tint="0.499984740745262"/>
      </font>
      <fill>
        <patternFill>
          <bgColor theme="1" tint="0.499984740745262"/>
        </patternFill>
      </fill>
    </dxf>
  </dxfs>
  <tableStyles count="0" defaultTableStyle="TableStyleMedium2" defaultPivotStyle="PivotStyleLight16"/>
  <colors>
    <mruColors>
      <color rgb="FFFFCCFF"/>
      <color rgb="FFCCECFF"/>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b="1"/>
              <a:t>Licensing Cost Analysis (cost / month)</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1.0554975632134997E-2"/>
          <c:y val="7.4413081238837359E-2"/>
          <c:w val="0.97889004873573005"/>
          <c:h val="0.77527156617581017"/>
        </c:manualLayout>
      </c:layout>
      <c:barChart>
        <c:barDir val="col"/>
        <c:grouping val="clustered"/>
        <c:varyColors val="0"/>
        <c:ser>
          <c:idx val="1"/>
          <c:order val="0"/>
          <c:tx>
            <c:v>Current Desktop Licensing Cost</c:v>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 Desktop License Cost'!$D$57:$H$57</c:f>
              <c:strCache>
                <c:ptCount val="5"/>
                <c:pt idx="0">
                  <c:v>User Group 1</c:v>
                </c:pt>
                <c:pt idx="1">
                  <c:v>User Group 2</c:v>
                </c:pt>
                <c:pt idx="2">
                  <c:v>User Group 3</c:v>
                </c:pt>
                <c:pt idx="3">
                  <c:v>User Group 4</c:v>
                </c:pt>
                <c:pt idx="4">
                  <c:v>User Group 5</c:v>
                </c:pt>
              </c:strCache>
            </c:strRef>
          </c:cat>
          <c:val>
            <c:numRef>
              <c:f>'2. Desktop License Cost'!$D$66:$H$66</c:f>
              <c:numCache>
                <c:formatCode>_("$"* #,##0.00_);_("$"* \(#,##0.00\);_("$"* "-"??_);_(@_)</c:formatCode>
                <c:ptCount val="5"/>
                <c:pt idx="0">
                  <c:v>0</c:v>
                </c:pt>
                <c:pt idx="1">
                  <c:v>2500</c:v>
                </c:pt>
                <c:pt idx="2">
                  <c:v>6950</c:v>
                </c:pt>
                <c:pt idx="3">
                  <c:v>2450</c:v>
                </c:pt>
                <c:pt idx="4">
                  <c:v>0</c:v>
                </c:pt>
              </c:numCache>
            </c:numRef>
          </c:val>
          <c:extLst>
            <c:ext xmlns:c16="http://schemas.microsoft.com/office/drawing/2014/chart" uri="{C3380CC4-5D6E-409C-BE32-E72D297353CC}">
              <c16:uniqueId val="{00000001-E0F9-44DD-B097-CA13B5C2AC2D}"/>
            </c:ext>
          </c:extLst>
        </c:ser>
        <c:ser>
          <c:idx val="0"/>
          <c:order val="1"/>
          <c:tx>
            <c:v>WVD Desktop Licensing Cost</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 Desktop License Cost'!$D$57:$H$57</c:f>
              <c:strCache>
                <c:ptCount val="5"/>
                <c:pt idx="0">
                  <c:v>User Group 1</c:v>
                </c:pt>
                <c:pt idx="1">
                  <c:v>User Group 2</c:v>
                </c:pt>
                <c:pt idx="2">
                  <c:v>User Group 3</c:v>
                </c:pt>
                <c:pt idx="3">
                  <c:v>User Group 4</c:v>
                </c:pt>
                <c:pt idx="4">
                  <c:v>User Group 5</c:v>
                </c:pt>
              </c:strCache>
            </c:strRef>
          </c:cat>
          <c:val>
            <c:numRef>
              <c:f>'2. Desktop License Cost'!$D$61:$H$61</c:f>
              <c:numCache>
                <c:formatCode>_("$"* #,##0.00_);_("$"* \(#,##0.00\);_("$"* "-"??_);_(@_)</c:formatCode>
                <c:ptCount val="5"/>
                <c:pt idx="0">
                  <c:v>4000</c:v>
                </c:pt>
                <c:pt idx="1">
                  <c:v>1500</c:v>
                </c:pt>
                <c:pt idx="2">
                  <c:v>2450</c:v>
                </c:pt>
                <c:pt idx="3">
                  <c:v>2450</c:v>
                </c:pt>
                <c:pt idx="4">
                  <c:v>0</c:v>
                </c:pt>
              </c:numCache>
            </c:numRef>
          </c:val>
          <c:extLst>
            <c:ext xmlns:c16="http://schemas.microsoft.com/office/drawing/2014/chart" uri="{C3380CC4-5D6E-409C-BE32-E72D297353CC}">
              <c16:uniqueId val="{00000000-E0F9-44DD-B097-CA13B5C2AC2D}"/>
            </c:ext>
          </c:extLst>
        </c:ser>
        <c:dLbls>
          <c:showLegendKey val="0"/>
          <c:showVal val="0"/>
          <c:showCatName val="0"/>
          <c:showSerName val="0"/>
          <c:showPercent val="0"/>
          <c:showBubbleSize val="0"/>
        </c:dLbls>
        <c:gapWidth val="219"/>
        <c:overlap val="-27"/>
        <c:axId val="67958687"/>
        <c:axId val="676429775"/>
      </c:barChart>
      <c:catAx>
        <c:axId val="67958687"/>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676429775"/>
        <c:crosses val="autoZero"/>
        <c:auto val="1"/>
        <c:lblAlgn val="ctr"/>
        <c:lblOffset val="100"/>
        <c:noMultiLvlLbl val="0"/>
      </c:catAx>
      <c:valAx>
        <c:axId val="676429775"/>
        <c:scaling>
          <c:orientation val="minMax"/>
        </c:scaling>
        <c:delete val="1"/>
        <c:axPos val="l"/>
        <c:numFmt formatCode="_(&quot;$&quot;* #,##0.00_);_(&quot;$&quot;* \(#,##0.00\);_(&quot;$&quot;* &quot;-&quot;??_);_(@_)" sourceLinked="1"/>
        <c:majorTickMark val="none"/>
        <c:minorTickMark val="none"/>
        <c:tickLblPos val="nextTo"/>
        <c:crossAx val="67958687"/>
        <c:crosses val="autoZero"/>
        <c:crossBetween val="between"/>
      </c:valAx>
      <c:spPr>
        <a:noFill/>
        <a:ln>
          <a:noFill/>
        </a:ln>
        <a:effectLst/>
      </c:spPr>
    </c:plotArea>
    <c:legend>
      <c:legendPos val="b"/>
      <c:layout>
        <c:manualLayout>
          <c:xMode val="edge"/>
          <c:yMode val="edge"/>
          <c:x val="0.78218905435793951"/>
          <c:y val="9.2455722057980402E-2"/>
          <c:w val="0.20240730403665413"/>
          <c:h val="0.1432636517621914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sz="12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WVD Management Cost'!$F$24</c:f>
          <c:strCache>
            <c:ptCount val="1"/>
            <c:pt idx="0">
              <c:v>Management Cost Analysis (USD Cost / Month)</c:v>
            </c:pt>
          </c:strCache>
        </c:strRef>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Segoe UI" panose="020B0502040204020203" pitchFamily="34" charset="0"/>
              <a:ea typeface="+mn-ea"/>
              <a:cs typeface="Segoe UI" panose="020B0502040204020203" pitchFamily="34" charset="0"/>
            </a:defRPr>
          </a:pPr>
          <a:endParaRPr lang="en-US"/>
        </a:p>
      </c:txPr>
    </c:title>
    <c:autoTitleDeleted val="0"/>
    <c:plotArea>
      <c:layout/>
      <c:barChart>
        <c:barDir val="col"/>
        <c:grouping val="clustered"/>
        <c:varyColors val="0"/>
        <c:ser>
          <c:idx val="0"/>
          <c:order val="0"/>
          <c:tx>
            <c:v>Current Management Cost</c:v>
          </c:tx>
          <c:spPr>
            <a:solidFill>
              <a:schemeClr val="accent1"/>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WVD Management Cost'!$D$6:$H$6</c:f>
              <c:strCache>
                <c:ptCount val="5"/>
                <c:pt idx="0">
                  <c:v>User Group 1</c:v>
                </c:pt>
                <c:pt idx="1">
                  <c:v>User Group 2</c:v>
                </c:pt>
                <c:pt idx="2">
                  <c:v>User Group 3</c:v>
                </c:pt>
                <c:pt idx="3">
                  <c:v>User Group 4</c:v>
                </c:pt>
                <c:pt idx="4">
                  <c:v>User Group 5</c:v>
                </c:pt>
              </c:strCache>
            </c:strRef>
          </c:cat>
          <c:val>
            <c:numRef>
              <c:f>'3. WVD Management Cost'!$D$12:$H$12</c:f>
              <c:numCache>
                <c:formatCode>_("$"* #,##0.00_);_("$"* \(#,##0.00\);_("$"* "-"??_);_(@_)</c:formatCode>
                <c:ptCount val="5"/>
                <c:pt idx="0">
                  <c:v>0</c:v>
                </c:pt>
                <c:pt idx="1">
                  <c:v>0</c:v>
                </c:pt>
                <c:pt idx="2">
                  <c:v>0</c:v>
                </c:pt>
                <c:pt idx="3">
                  <c:v>5000</c:v>
                </c:pt>
                <c:pt idx="4">
                  <c:v>0</c:v>
                </c:pt>
              </c:numCache>
            </c:numRef>
          </c:val>
          <c:extLst>
            <c:ext xmlns:c16="http://schemas.microsoft.com/office/drawing/2014/chart" uri="{C3380CC4-5D6E-409C-BE32-E72D297353CC}">
              <c16:uniqueId val="{00000000-7AB2-4E8A-964A-521D677E856D}"/>
            </c:ext>
          </c:extLst>
        </c:ser>
        <c:ser>
          <c:idx val="1"/>
          <c:order val="1"/>
          <c:tx>
            <c:strRef>
              <c:f>'3. WVD Management Cost'!$C$14</c:f>
              <c:strCache>
                <c:ptCount val="1"/>
                <c:pt idx="0">
                  <c:v>WVD Management Cost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WVD Management Cost'!$D$6:$H$6</c:f>
              <c:strCache>
                <c:ptCount val="5"/>
                <c:pt idx="0">
                  <c:v>User Group 1</c:v>
                </c:pt>
                <c:pt idx="1">
                  <c:v>User Group 2</c:v>
                </c:pt>
                <c:pt idx="2">
                  <c:v>User Group 3</c:v>
                </c:pt>
                <c:pt idx="3">
                  <c:v>User Group 4</c:v>
                </c:pt>
                <c:pt idx="4">
                  <c:v>User Group 5</c:v>
                </c:pt>
              </c:strCache>
            </c:strRef>
          </c:cat>
          <c:val>
            <c:numRef>
              <c:f>'3. WVD Management Cost'!$D$20:$H$20</c:f>
              <c:numCache>
                <c:formatCode>_("$"* #,##0.00_);_("$"* \(#,##0.00\);_("$"* "-"??_);_(@_)</c:formatCode>
                <c:ptCount val="5"/>
                <c:pt idx="0">
                  <c:v>0</c:v>
                </c:pt>
                <c:pt idx="1">
                  <c:v>0</c:v>
                </c:pt>
                <c:pt idx="2">
                  <c:v>0</c:v>
                </c:pt>
                <c:pt idx="3">
                  <c:v>4825</c:v>
                </c:pt>
                <c:pt idx="4">
                  <c:v>0</c:v>
                </c:pt>
              </c:numCache>
            </c:numRef>
          </c:val>
          <c:extLst>
            <c:ext xmlns:c16="http://schemas.microsoft.com/office/drawing/2014/chart" uri="{C3380CC4-5D6E-409C-BE32-E72D297353CC}">
              <c16:uniqueId val="{00000001-7AB2-4E8A-964A-521D677E856D}"/>
            </c:ext>
          </c:extLst>
        </c:ser>
        <c:dLbls>
          <c:showLegendKey val="0"/>
          <c:showVal val="0"/>
          <c:showCatName val="0"/>
          <c:showSerName val="0"/>
          <c:showPercent val="0"/>
          <c:showBubbleSize val="0"/>
        </c:dLbls>
        <c:gapWidth val="219"/>
        <c:overlap val="-27"/>
        <c:axId val="1965539551"/>
        <c:axId val="2041993967"/>
      </c:barChart>
      <c:catAx>
        <c:axId val="1965539551"/>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2041993967"/>
        <c:crosses val="autoZero"/>
        <c:auto val="1"/>
        <c:lblAlgn val="ctr"/>
        <c:lblOffset val="100"/>
        <c:noMultiLvlLbl val="0"/>
      </c:catAx>
      <c:valAx>
        <c:axId val="2041993967"/>
        <c:scaling>
          <c:orientation val="minMax"/>
        </c:scaling>
        <c:delete val="1"/>
        <c:axPos val="l"/>
        <c:numFmt formatCode="_(&quot;$&quot;* #,##0.00_);_(&quot;$&quot;* \(#,##0.00\);_(&quot;$&quot;* &quot;-&quot;??_);_(@_)" sourceLinked="1"/>
        <c:majorTickMark val="none"/>
        <c:minorTickMark val="none"/>
        <c:tickLblPos val="nextTo"/>
        <c:crossAx val="1965539551"/>
        <c:crosses val="autoZero"/>
        <c:crossBetween val="between"/>
      </c:valAx>
      <c:spPr>
        <a:noFill/>
        <a:ln>
          <a:noFill/>
        </a:ln>
        <a:effectLst/>
      </c:spPr>
    </c:plotArea>
    <c:legend>
      <c:legendPos val="b"/>
      <c:layout>
        <c:manualLayout>
          <c:xMode val="edge"/>
          <c:yMode val="edge"/>
          <c:x val="0.81495985780590607"/>
          <c:y val="8.5565741215769778E-2"/>
          <c:w val="0.16518507589588646"/>
          <c:h val="0.1222272436211613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sz="1200">
          <a:solidFill>
            <a:schemeClr val="tx1"/>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'4. Infrastructure Cost'!$C$215</c:f>
          <c:strCache>
            <c:ptCount val="1"/>
            <c:pt idx="0">
              <c:v>Infrastructure Cost Analysis (USD Cost / Month)</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Segoe UI" panose="020B0502040204020203" pitchFamily="34" charset="0"/>
              <a:ea typeface="+mn-ea"/>
              <a:cs typeface="Segoe UI" panose="020B0502040204020203" pitchFamily="34" charset="0"/>
            </a:defRPr>
          </a:pPr>
          <a:endParaRPr lang="en-US"/>
        </a:p>
      </c:txPr>
    </c:title>
    <c:autoTitleDeleted val="0"/>
    <c:plotArea>
      <c:layout/>
      <c:barChart>
        <c:barDir val="col"/>
        <c:grouping val="clustered"/>
        <c:varyColors val="0"/>
        <c:ser>
          <c:idx val="0"/>
          <c:order val="0"/>
          <c:tx>
            <c:v>Current Infrastructure Cost</c:v>
          </c:tx>
          <c:spPr>
            <a:solidFill>
              <a:schemeClr val="accent1"/>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Infrastructure Cost'!$D$8:$H$8</c:f>
              <c:strCache>
                <c:ptCount val="5"/>
                <c:pt idx="0">
                  <c:v>User Group 1</c:v>
                </c:pt>
                <c:pt idx="1">
                  <c:v>User Group 2</c:v>
                </c:pt>
                <c:pt idx="2">
                  <c:v>User Group 3</c:v>
                </c:pt>
                <c:pt idx="3">
                  <c:v>User Group 4</c:v>
                </c:pt>
                <c:pt idx="4">
                  <c:v>User Group 5</c:v>
                </c:pt>
              </c:strCache>
            </c:strRef>
          </c:cat>
          <c:val>
            <c:numRef>
              <c:f>'4. Infrastructure Cost'!$D$203:$H$203</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5-7751-4D82-88DE-298E9429C5E2}"/>
            </c:ext>
          </c:extLst>
        </c:ser>
        <c:ser>
          <c:idx val="1"/>
          <c:order val="1"/>
          <c:tx>
            <c:v>WVD Infrastructure Cost</c:v>
          </c:tx>
          <c:spPr>
            <a:solidFill>
              <a:schemeClr val="accent2"/>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Infrastructure Cost'!$D$8:$H$8</c:f>
              <c:strCache>
                <c:ptCount val="5"/>
                <c:pt idx="0">
                  <c:v>User Group 1</c:v>
                </c:pt>
                <c:pt idx="1">
                  <c:v>User Group 2</c:v>
                </c:pt>
                <c:pt idx="2">
                  <c:v>User Group 3</c:v>
                </c:pt>
                <c:pt idx="3">
                  <c:v>User Group 4</c:v>
                </c:pt>
                <c:pt idx="4">
                  <c:v>User Group 5</c:v>
                </c:pt>
              </c:strCache>
            </c:strRef>
          </c:cat>
          <c:val>
            <c:numRef>
              <c:f>'4. Infrastructure Cost'!$D$194:$H$194</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6-7751-4D82-88DE-298E9429C5E2}"/>
            </c:ext>
          </c:extLst>
        </c:ser>
        <c:dLbls>
          <c:showLegendKey val="0"/>
          <c:showVal val="0"/>
          <c:showCatName val="0"/>
          <c:showSerName val="0"/>
          <c:showPercent val="0"/>
          <c:showBubbleSize val="0"/>
        </c:dLbls>
        <c:gapWidth val="219"/>
        <c:overlap val="-27"/>
        <c:axId val="504484047"/>
        <c:axId val="2037957583"/>
      </c:barChart>
      <c:catAx>
        <c:axId val="504484047"/>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2037957583"/>
        <c:crosses val="autoZero"/>
        <c:auto val="1"/>
        <c:lblAlgn val="ctr"/>
        <c:lblOffset val="100"/>
        <c:noMultiLvlLbl val="0"/>
      </c:catAx>
      <c:valAx>
        <c:axId val="2037957583"/>
        <c:scaling>
          <c:orientation val="minMax"/>
        </c:scaling>
        <c:delete val="1"/>
        <c:axPos val="l"/>
        <c:numFmt formatCode="_(&quot;$&quot;* #,##0.00_);_(&quot;$&quot;* \(#,##0.00\);_(&quot;$&quot;* &quot;-&quot;??_);_(@_)" sourceLinked="1"/>
        <c:majorTickMark val="none"/>
        <c:minorTickMark val="none"/>
        <c:tickLblPos val="nextTo"/>
        <c:crossAx val="504484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sz="1200">
          <a:solidFill>
            <a:schemeClr val="tx1"/>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'4. Infrastructure Cost'!$F$215</c:f>
          <c:strCache>
            <c:ptCount val="1"/>
            <c:pt idx="0">
              <c:v>Infrastructure Cost Analysis (USD Cost / User / Month)</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Segoe UI" panose="020B0502040204020203" pitchFamily="34" charset="0"/>
              <a:ea typeface="+mn-ea"/>
              <a:cs typeface="Segoe UI" panose="020B0502040204020203" pitchFamily="34" charset="0"/>
            </a:defRPr>
          </a:pPr>
          <a:endParaRPr lang="en-US"/>
        </a:p>
      </c:txPr>
    </c:title>
    <c:autoTitleDeleted val="0"/>
    <c:plotArea>
      <c:layout/>
      <c:barChart>
        <c:barDir val="col"/>
        <c:grouping val="clustered"/>
        <c:varyColors val="0"/>
        <c:ser>
          <c:idx val="0"/>
          <c:order val="0"/>
          <c:tx>
            <c:v>Current Infrastructure Cost</c:v>
          </c:tx>
          <c:spPr>
            <a:solidFill>
              <a:schemeClr val="accent1"/>
            </a:solidFill>
            <a:ln>
              <a:noFill/>
            </a:ln>
            <a:effectLst/>
          </c:spPr>
          <c:invertIfNegative val="0"/>
          <c:dLbls>
            <c:numFmt formatCode="#,##0.00"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Infrastructure Cost'!$D$8:$H$8</c:f>
              <c:strCache>
                <c:ptCount val="5"/>
                <c:pt idx="0">
                  <c:v>User Group 1</c:v>
                </c:pt>
                <c:pt idx="1">
                  <c:v>User Group 2</c:v>
                </c:pt>
                <c:pt idx="2">
                  <c:v>User Group 3</c:v>
                </c:pt>
                <c:pt idx="3">
                  <c:v>User Group 4</c:v>
                </c:pt>
                <c:pt idx="4">
                  <c:v>User Group 5</c:v>
                </c:pt>
              </c:strCache>
            </c:strRef>
          </c:cat>
          <c:val>
            <c:numRef>
              <c:f>'4. Infrastructure Cost'!$D$204:$H$204</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0-63C3-4184-811C-EF7218FBF340}"/>
            </c:ext>
          </c:extLst>
        </c:ser>
        <c:ser>
          <c:idx val="1"/>
          <c:order val="1"/>
          <c:tx>
            <c:v>WVD Infrastructure Cost</c:v>
          </c:tx>
          <c:spPr>
            <a:solidFill>
              <a:schemeClr val="accent2"/>
            </a:solidFill>
            <a:ln>
              <a:noFill/>
            </a:ln>
            <a:effectLst/>
          </c:spPr>
          <c:invertIfNegative val="0"/>
          <c:dLbls>
            <c:numFmt formatCode="#,##0.00"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Infrastructure Cost'!$D$8:$H$8</c:f>
              <c:strCache>
                <c:ptCount val="5"/>
                <c:pt idx="0">
                  <c:v>User Group 1</c:v>
                </c:pt>
                <c:pt idx="1">
                  <c:v>User Group 2</c:v>
                </c:pt>
                <c:pt idx="2">
                  <c:v>User Group 3</c:v>
                </c:pt>
                <c:pt idx="3">
                  <c:v>User Group 4</c:v>
                </c:pt>
                <c:pt idx="4">
                  <c:v>User Group 5</c:v>
                </c:pt>
              </c:strCache>
            </c:strRef>
          </c:cat>
          <c:val>
            <c:numRef>
              <c:f>'4. Infrastructure Cost'!$D$195:$H$195</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1-63C3-4184-811C-EF7218FBF340}"/>
            </c:ext>
          </c:extLst>
        </c:ser>
        <c:dLbls>
          <c:showLegendKey val="0"/>
          <c:showVal val="0"/>
          <c:showCatName val="0"/>
          <c:showSerName val="0"/>
          <c:showPercent val="0"/>
          <c:showBubbleSize val="0"/>
        </c:dLbls>
        <c:gapWidth val="219"/>
        <c:overlap val="-27"/>
        <c:axId val="504484047"/>
        <c:axId val="2037957583"/>
      </c:barChart>
      <c:catAx>
        <c:axId val="504484047"/>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2037957583"/>
        <c:crosses val="autoZero"/>
        <c:auto val="1"/>
        <c:lblAlgn val="ctr"/>
        <c:lblOffset val="100"/>
        <c:noMultiLvlLbl val="0"/>
      </c:catAx>
      <c:valAx>
        <c:axId val="2037957583"/>
        <c:scaling>
          <c:orientation val="minMax"/>
        </c:scaling>
        <c:delete val="1"/>
        <c:axPos val="l"/>
        <c:numFmt formatCode="_(&quot;$&quot;* #,##0.00_);_(&quot;$&quot;* \(#,##0.00\);_(&quot;$&quot;* &quot;-&quot;??_);_(@_)" sourceLinked="1"/>
        <c:majorTickMark val="none"/>
        <c:minorTickMark val="none"/>
        <c:tickLblPos val="nextTo"/>
        <c:crossAx val="504484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sz="1200">
          <a:solidFill>
            <a:schemeClr val="tx1"/>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'6. Cost Benefit Analysis'!$O$4</c:f>
          <c:strCache>
            <c:ptCount val="1"/>
            <c:pt idx="0">
              <c:v>Total Desktop Cost Analysis (USD Cost / Month)</c:v>
            </c:pt>
          </c:strCache>
        </c:strRef>
      </c:tx>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barChart>
        <c:barDir val="col"/>
        <c:grouping val="clustered"/>
        <c:varyColors val="0"/>
        <c:ser>
          <c:idx val="0"/>
          <c:order val="0"/>
          <c:tx>
            <c:v>Total Current Desktop Cost</c:v>
          </c:tx>
          <c:spPr>
            <a:solidFill>
              <a:schemeClr val="accent1"/>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Cost Benefit Analysis'!$D$6:$I$6</c:f>
              <c:strCache>
                <c:ptCount val="6"/>
                <c:pt idx="0">
                  <c:v>User Group 1</c:v>
                </c:pt>
                <c:pt idx="1">
                  <c:v>User Group 2</c:v>
                </c:pt>
                <c:pt idx="2">
                  <c:v>User Group 3</c:v>
                </c:pt>
                <c:pt idx="3">
                  <c:v>User Group 4</c:v>
                </c:pt>
                <c:pt idx="4">
                  <c:v>User Group 5</c:v>
                </c:pt>
                <c:pt idx="5">
                  <c:v>Total</c:v>
                </c:pt>
              </c:strCache>
            </c:strRef>
          </c:cat>
          <c:val>
            <c:numRef>
              <c:f>'6. Cost Benefit Analysis'!$D$24:$H$24</c:f>
              <c:numCache>
                <c:formatCode>_("$"* #,##0.00_);_("$"* \(#,##0.00\);_("$"* "-"??_);_(@_)</c:formatCode>
                <c:ptCount val="5"/>
                <c:pt idx="0">
                  <c:v>0</c:v>
                </c:pt>
                <c:pt idx="1">
                  <c:v>2500</c:v>
                </c:pt>
                <c:pt idx="2">
                  <c:v>6950</c:v>
                </c:pt>
                <c:pt idx="3">
                  <c:v>7450</c:v>
                </c:pt>
                <c:pt idx="4">
                  <c:v>0</c:v>
                </c:pt>
              </c:numCache>
            </c:numRef>
          </c:val>
          <c:extLst>
            <c:ext xmlns:c16="http://schemas.microsoft.com/office/drawing/2014/chart" uri="{C3380CC4-5D6E-409C-BE32-E72D297353CC}">
              <c16:uniqueId val="{00000000-615B-487B-AF2F-39C664AA322B}"/>
            </c:ext>
          </c:extLst>
        </c:ser>
        <c:ser>
          <c:idx val="1"/>
          <c:order val="1"/>
          <c:tx>
            <c:v>Total WVD Desktop Cost</c:v>
          </c:tx>
          <c:spPr>
            <a:solidFill>
              <a:schemeClr val="accent2"/>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Cost Benefit Analysis'!$D$6:$I$6</c:f>
              <c:strCache>
                <c:ptCount val="6"/>
                <c:pt idx="0">
                  <c:v>User Group 1</c:v>
                </c:pt>
                <c:pt idx="1">
                  <c:v>User Group 2</c:v>
                </c:pt>
                <c:pt idx="2">
                  <c:v>User Group 3</c:v>
                </c:pt>
                <c:pt idx="3">
                  <c:v>User Group 4</c:v>
                </c:pt>
                <c:pt idx="4">
                  <c:v>User Group 5</c:v>
                </c:pt>
                <c:pt idx="5">
                  <c:v>Total</c:v>
                </c:pt>
              </c:strCache>
            </c:strRef>
          </c:cat>
          <c:val>
            <c:numRef>
              <c:f>'6. Cost Benefit Analysis'!$D$40:$H$40</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1-615B-487B-AF2F-39C664AA322B}"/>
            </c:ext>
          </c:extLst>
        </c:ser>
        <c:dLbls>
          <c:showLegendKey val="0"/>
          <c:showVal val="0"/>
          <c:showCatName val="0"/>
          <c:showSerName val="0"/>
          <c:showPercent val="0"/>
          <c:showBubbleSize val="0"/>
        </c:dLbls>
        <c:gapWidth val="150"/>
        <c:overlap val="-27"/>
        <c:axId val="511665103"/>
        <c:axId val="2037950511"/>
      </c:barChart>
      <c:catAx>
        <c:axId val="511665103"/>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2037950511"/>
        <c:crosses val="autoZero"/>
        <c:auto val="1"/>
        <c:lblAlgn val="ctr"/>
        <c:lblOffset val="100"/>
        <c:noMultiLvlLbl val="0"/>
      </c:catAx>
      <c:valAx>
        <c:axId val="2037950511"/>
        <c:scaling>
          <c:orientation val="minMax"/>
        </c:scaling>
        <c:delete val="1"/>
        <c:axPos val="l"/>
        <c:numFmt formatCode="_(&quot;$&quot;* #,##0.00_);_(&quot;$&quot;* \(#,##0.00\);_(&quot;$&quot;* &quot;-&quot;??_);_(@_)" sourceLinked="1"/>
        <c:majorTickMark val="none"/>
        <c:minorTickMark val="none"/>
        <c:tickLblPos val="nextTo"/>
        <c:crossAx val="511665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'6. Cost Benefit Analysis'!$O$5</c:f>
          <c:strCache>
            <c:ptCount val="1"/>
            <c:pt idx="0">
              <c:v>Total Desktop Cost Analysis (USD Cost / User / Month)</c:v>
            </c:pt>
          </c:strCache>
        </c:strRef>
      </c:tx>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barChart>
        <c:barDir val="col"/>
        <c:grouping val="clustered"/>
        <c:varyColors val="0"/>
        <c:ser>
          <c:idx val="0"/>
          <c:order val="0"/>
          <c:tx>
            <c:v>Total Current Desktop Cost</c:v>
          </c:tx>
          <c:spPr>
            <a:solidFill>
              <a:schemeClr val="accent1"/>
            </a:solidFill>
            <a:ln>
              <a:noFill/>
            </a:ln>
            <a:effectLst/>
          </c:spPr>
          <c:invertIfNegative val="0"/>
          <c:dLbls>
            <c:numFmt formatCode="#,##0.00"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Cost Benefit Analysis'!$D$6:$I$6</c:f>
              <c:strCache>
                <c:ptCount val="6"/>
                <c:pt idx="0">
                  <c:v>User Group 1</c:v>
                </c:pt>
                <c:pt idx="1">
                  <c:v>User Group 2</c:v>
                </c:pt>
                <c:pt idx="2">
                  <c:v>User Group 3</c:v>
                </c:pt>
                <c:pt idx="3">
                  <c:v>User Group 4</c:v>
                </c:pt>
                <c:pt idx="4">
                  <c:v>User Group 5</c:v>
                </c:pt>
                <c:pt idx="5">
                  <c:v>Total</c:v>
                </c:pt>
              </c:strCache>
            </c:strRef>
          </c:cat>
          <c:val>
            <c:numRef>
              <c:f>'6. Cost Benefit Analysis'!$D$25:$H$25</c:f>
              <c:numCache>
                <c:formatCode>_("$"* #,##0.00_);_("$"* \(#,##0.00\);_("$"* "-"??_);_(@_)</c:formatCode>
                <c:ptCount val="5"/>
                <c:pt idx="0">
                  <c:v>0</c:v>
                </c:pt>
                <c:pt idx="1">
                  <c:v>16.666666666666668</c:v>
                </c:pt>
                <c:pt idx="2">
                  <c:v>19.857142857142858</c:v>
                </c:pt>
                <c:pt idx="3">
                  <c:v>21.285714285714285</c:v>
                </c:pt>
                <c:pt idx="4">
                  <c:v>0</c:v>
                </c:pt>
              </c:numCache>
            </c:numRef>
          </c:val>
          <c:extLst>
            <c:ext xmlns:c16="http://schemas.microsoft.com/office/drawing/2014/chart" uri="{C3380CC4-5D6E-409C-BE32-E72D297353CC}">
              <c16:uniqueId val="{00000000-777F-4720-9EA0-5223C4A6A112}"/>
            </c:ext>
          </c:extLst>
        </c:ser>
        <c:ser>
          <c:idx val="1"/>
          <c:order val="1"/>
          <c:tx>
            <c:v>Total WVD Desktop Cost</c:v>
          </c:tx>
          <c:spPr>
            <a:solidFill>
              <a:schemeClr val="accent2"/>
            </a:solidFill>
            <a:ln>
              <a:noFill/>
            </a:ln>
            <a:effectLst/>
          </c:spPr>
          <c:invertIfNegative val="0"/>
          <c:dLbls>
            <c:numFmt formatCode="#,##0.00"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 Cost Benefit Analysis'!$D$6:$I$6</c:f>
              <c:strCache>
                <c:ptCount val="6"/>
                <c:pt idx="0">
                  <c:v>User Group 1</c:v>
                </c:pt>
                <c:pt idx="1">
                  <c:v>User Group 2</c:v>
                </c:pt>
                <c:pt idx="2">
                  <c:v>User Group 3</c:v>
                </c:pt>
                <c:pt idx="3">
                  <c:v>User Group 4</c:v>
                </c:pt>
                <c:pt idx="4">
                  <c:v>User Group 5</c:v>
                </c:pt>
                <c:pt idx="5">
                  <c:v>Total</c:v>
                </c:pt>
              </c:strCache>
            </c:strRef>
          </c:cat>
          <c:val>
            <c:numRef>
              <c:f>'6. Cost Benefit Analysis'!$D$41:$H$41</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1-777F-4720-9EA0-5223C4A6A112}"/>
            </c:ext>
          </c:extLst>
        </c:ser>
        <c:dLbls>
          <c:showLegendKey val="0"/>
          <c:showVal val="0"/>
          <c:showCatName val="0"/>
          <c:showSerName val="0"/>
          <c:showPercent val="0"/>
          <c:showBubbleSize val="0"/>
        </c:dLbls>
        <c:gapWidth val="150"/>
        <c:overlap val="-27"/>
        <c:axId val="511665103"/>
        <c:axId val="2037950511"/>
      </c:barChart>
      <c:catAx>
        <c:axId val="511665103"/>
        <c:scaling>
          <c:orientation val="minMax"/>
        </c:scaling>
        <c:delete val="0"/>
        <c:axPos val="b"/>
        <c:numFmt formatCode="General" sourceLinked="1"/>
        <c:majorTickMark val="out"/>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2037950511"/>
        <c:crosses val="autoZero"/>
        <c:auto val="1"/>
        <c:lblAlgn val="ctr"/>
        <c:lblOffset val="100"/>
        <c:noMultiLvlLbl val="0"/>
      </c:catAx>
      <c:valAx>
        <c:axId val="2037950511"/>
        <c:scaling>
          <c:orientation val="minMax"/>
        </c:scaling>
        <c:delete val="1"/>
        <c:axPos val="l"/>
        <c:numFmt formatCode="_(&quot;$&quot;* #,##0.00_);_(&quot;$&quot;* \(#,##0.00\);_(&quot;$&quot;* &quot;-&quot;??_);_(@_)" sourceLinked="1"/>
        <c:majorTickMark val="none"/>
        <c:minorTickMark val="none"/>
        <c:tickLblPos val="nextTo"/>
        <c:crossAx val="511665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7097352</xdr:colOff>
      <xdr:row>0</xdr:row>
      <xdr:rowOff>76710</xdr:rowOff>
    </xdr:from>
    <xdr:to>
      <xdr:col>2</xdr:col>
      <xdr:colOff>8593846</xdr:colOff>
      <xdr:row>0</xdr:row>
      <xdr:rowOff>399602</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708323" y="76710"/>
          <a:ext cx="1492684" cy="3267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11474</xdr:colOff>
      <xdr:row>34</xdr:row>
      <xdr:rowOff>16509</xdr:rowOff>
    </xdr:from>
    <xdr:to>
      <xdr:col>1</xdr:col>
      <xdr:colOff>2476499</xdr:colOff>
      <xdr:row>38</xdr:row>
      <xdr:rowOff>46490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35299" y="7331709"/>
          <a:ext cx="2465025" cy="8491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402906</xdr:colOff>
      <xdr:row>0</xdr:row>
      <xdr:rowOff>78783</xdr:rowOff>
    </xdr:from>
    <xdr:to>
      <xdr:col>8</xdr:col>
      <xdr:colOff>55696</xdr:colOff>
      <xdr:row>0</xdr:row>
      <xdr:rowOff>402866</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1809094" y="78783"/>
          <a:ext cx="1476865" cy="335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1103313</xdr:colOff>
      <xdr:row>1</xdr:row>
      <xdr:rowOff>63499</xdr:rowOff>
    </xdr:from>
    <xdr:to>
      <xdr:col>11</xdr:col>
      <xdr:colOff>1081088</xdr:colOff>
      <xdr:row>3</xdr:row>
      <xdr:rowOff>581532</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5509876" y="507999"/>
          <a:ext cx="3200400" cy="978408"/>
          <a:chOff x="5092700" y="3378200"/>
          <a:chExt cx="3200400" cy="978408"/>
        </a:xfrm>
      </xdr:grpSpPr>
      <xdr:sp macro="[0]!RefreshAll.RefreshAll" textlink="">
        <xdr:nvSpPr>
          <xdr:cNvPr id="4" name="Rectangle 3">
            <a:extLst>
              <a:ext uri="{FF2B5EF4-FFF2-40B4-BE49-F238E27FC236}">
                <a16:creationId xmlns:a16="http://schemas.microsoft.com/office/drawing/2014/main" id="{00000000-0008-0000-0300-000004000000}"/>
              </a:ext>
            </a:extLst>
          </xdr:cNvPr>
          <xdr:cNvSpPr/>
        </xdr:nvSpPr>
        <xdr:spPr>
          <a:xfrm>
            <a:off x="5092700" y="3378200"/>
            <a:ext cx="3200400" cy="978408"/>
          </a:xfrm>
          <a:prstGeom prst="rect">
            <a:avLst/>
          </a:prstGeom>
          <a:solidFill>
            <a:srgbClr val="002060"/>
          </a:solidFill>
          <a:ln>
            <a:solidFill>
              <a:srgbClr val="0070C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2400" b="0">
                <a:solidFill>
                  <a:schemeClr val="lt1"/>
                </a:solidFill>
                <a:latin typeface="Segoe UI Light" panose="020B0502040204020203" pitchFamily="34" charset="0"/>
                <a:ea typeface="+mn-ea"/>
                <a:cs typeface="Segoe UI Light" panose="020B0502040204020203" pitchFamily="34" charset="0"/>
              </a:rPr>
              <a:t> Refresh</a:t>
            </a:r>
            <a:r>
              <a:rPr lang="en-US" sz="2400" b="0" baseline="0">
                <a:solidFill>
                  <a:schemeClr val="lt1"/>
                </a:solidFill>
                <a:latin typeface="Segoe UI Light" panose="020B0502040204020203" pitchFamily="34" charset="0"/>
                <a:ea typeface="+mn-ea"/>
                <a:cs typeface="Segoe UI Light" panose="020B0502040204020203" pitchFamily="34" charset="0"/>
              </a:rPr>
              <a:t> </a:t>
            </a:r>
            <a:r>
              <a:rPr lang="en-US" sz="2400" b="0">
                <a:solidFill>
                  <a:schemeClr val="lt1"/>
                </a:solidFill>
                <a:latin typeface="Segoe UI Light" panose="020B0502040204020203" pitchFamily="34" charset="0"/>
                <a:ea typeface="+mn-ea"/>
                <a:cs typeface="Segoe UI Light" panose="020B0502040204020203" pitchFamily="34" charset="0"/>
              </a:rPr>
              <a:t>All</a:t>
            </a:r>
          </a:p>
        </xdr:txBody>
      </xdr:sp>
      <xdr:pic macro="[0]!RefreshAll.RefreshAll">
        <xdr:nvPicPr>
          <xdr:cNvPr id="5" name="Picture 4">
            <a:extLst>
              <a:ext uri="{FF2B5EF4-FFF2-40B4-BE49-F238E27FC236}">
                <a16:creationId xmlns:a16="http://schemas.microsoft.com/office/drawing/2014/main" id="{00000000-0008-0000-03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900" y="3517900"/>
            <a:ext cx="754428" cy="731207"/>
          </a:xfrm>
          <a:prstGeom prst="rect">
            <a:avLst/>
          </a:prstGeom>
          <a:noFill/>
          <a:ln w="19050">
            <a:noFill/>
          </a:ln>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369096</xdr:colOff>
      <xdr:row>0</xdr:row>
      <xdr:rowOff>98221</xdr:rowOff>
    </xdr:from>
    <xdr:to>
      <xdr:col>8</xdr:col>
      <xdr:colOff>2800</xdr:colOff>
      <xdr:row>1</xdr:row>
      <xdr:rowOff>1684</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xdr:blipFill>
      <xdr:spPr bwMode="auto">
        <a:xfrm>
          <a:off x="11775284" y="98221"/>
          <a:ext cx="1467267" cy="336682"/>
        </a:xfrm>
        <a:prstGeom prst="rect">
          <a:avLst/>
        </a:prstGeom>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7471</xdr:colOff>
      <xdr:row>6</xdr:row>
      <xdr:rowOff>67237</xdr:rowOff>
    </xdr:from>
    <xdr:to>
      <xdr:col>11</xdr:col>
      <xdr:colOff>1541930</xdr:colOff>
      <xdr:row>11</xdr:row>
      <xdr:rowOff>15875</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14294971" y="1718237"/>
          <a:ext cx="3201334" cy="980513"/>
          <a:chOff x="5092700" y="3378200"/>
          <a:chExt cx="3200400" cy="978408"/>
        </a:xfrm>
      </xdr:grpSpPr>
      <xdr:sp macro="[0]!CleanUpUserGroup" textlink="">
        <xdr:nvSpPr>
          <xdr:cNvPr id="4" name="Rectangle 3">
            <a:extLst>
              <a:ext uri="{FF2B5EF4-FFF2-40B4-BE49-F238E27FC236}">
                <a16:creationId xmlns:a16="http://schemas.microsoft.com/office/drawing/2014/main" id="{00000000-0008-0000-0500-000004000000}"/>
              </a:ext>
            </a:extLst>
          </xdr:cNvPr>
          <xdr:cNvSpPr/>
        </xdr:nvSpPr>
        <xdr:spPr>
          <a:xfrm>
            <a:off x="5092700" y="3378200"/>
            <a:ext cx="3200400" cy="978408"/>
          </a:xfrm>
          <a:prstGeom prst="rect">
            <a:avLst/>
          </a:prstGeom>
          <a:solidFill>
            <a:srgbClr val="002060"/>
          </a:solidFill>
          <a:ln>
            <a:solidFill>
              <a:srgbClr val="0070C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2400" b="0">
                <a:solidFill>
                  <a:schemeClr val="lt1"/>
                </a:solidFill>
                <a:latin typeface="Segoe UI Light" panose="020B0502040204020203" pitchFamily="34" charset="0"/>
                <a:ea typeface="+mn-ea"/>
                <a:cs typeface="Segoe UI Light" panose="020B0502040204020203" pitchFamily="34" charset="0"/>
              </a:rPr>
              <a:t>Clean Up</a:t>
            </a:r>
            <a:r>
              <a:rPr lang="en-US" sz="2400" b="0" baseline="0">
                <a:solidFill>
                  <a:schemeClr val="lt1"/>
                </a:solidFill>
                <a:latin typeface="Segoe UI Light" panose="020B0502040204020203" pitchFamily="34" charset="0"/>
                <a:ea typeface="+mn-ea"/>
                <a:cs typeface="Segoe UI Light" panose="020B0502040204020203" pitchFamily="34" charset="0"/>
              </a:rPr>
              <a:t> </a:t>
            </a:r>
          </a:p>
          <a:p>
            <a:pPr algn="l"/>
            <a:r>
              <a:rPr lang="en-US" sz="2400" b="0" baseline="0">
                <a:solidFill>
                  <a:schemeClr val="lt1"/>
                </a:solidFill>
                <a:latin typeface="Segoe UI Light" panose="020B0502040204020203" pitchFamily="34" charset="0"/>
                <a:ea typeface="+mn-ea"/>
                <a:cs typeface="Segoe UI Light" panose="020B0502040204020203" pitchFamily="34" charset="0"/>
              </a:rPr>
              <a:t>User Group(s)</a:t>
            </a:r>
            <a:endParaRPr lang="en-US" sz="2400" b="0">
              <a:solidFill>
                <a:schemeClr val="lt1"/>
              </a:solidFill>
              <a:latin typeface="Segoe UI Light" panose="020B0502040204020203" pitchFamily="34" charset="0"/>
              <a:ea typeface="+mn-ea"/>
              <a:cs typeface="Segoe UI Light" panose="020B0502040204020203" pitchFamily="34" charset="0"/>
            </a:endParaRPr>
          </a:p>
        </xdr:txBody>
      </xdr:sp>
      <xdr:pic>
        <xdr:nvPicPr>
          <xdr:cNvPr id="5" name="Picture 4">
            <a:extLst>
              <a:ext uri="{FF2B5EF4-FFF2-40B4-BE49-F238E27FC236}">
                <a16:creationId xmlns:a16="http://schemas.microsoft.com/office/drawing/2014/main" id="{00000000-0008-0000-05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900" y="3517900"/>
            <a:ext cx="754428" cy="731207"/>
          </a:xfrm>
          <a:prstGeom prst="rect">
            <a:avLst/>
          </a:prstGeom>
          <a:noFill/>
          <a:ln w="19050">
            <a:noFill/>
          </a:ln>
        </xdr:spPr>
      </xdr:pic>
    </xdr:grpSp>
    <xdr:clientData/>
  </xdr:twoCellAnchor>
  <mc:AlternateContent xmlns:mc="http://schemas.openxmlformats.org/markup-compatibility/2006">
    <mc:Choice xmlns:a14="http://schemas.microsoft.com/office/drawing/2010/main" Requires="a14">
      <xdr:twoCellAnchor editAs="oneCell">
        <xdr:from>
          <xdr:col>13</xdr:col>
          <xdr:colOff>581025</xdr:colOff>
          <xdr:row>6</xdr:row>
          <xdr:rowOff>95250</xdr:rowOff>
        </xdr:from>
        <xdr:to>
          <xdr:col>14</xdr:col>
          <xdr:colOff>523875</xdr:colOff>
          <xdr:row>8</xdr:row>
          <xdr:rowOff>57150</xdr:rowOff>
        </xdr:to>
        <xdr:sp macro="" textlink="">
          <xdr:nvSpPr>
            <xdr:cNvPr id="3164" name="User Group 1" hidden="1">
              <a:extLst>
                <a:ext uri="{63B3BB69-23CF-44E3-9099-C40C66FF867C}">
                  <a14:compatExt spid="_x0000_s3164"/>
                </a:ext>
                <a:ext uri="{FF2B5EF4-FFF2-40B4-BE49-F238E27FC236}">
                  <a16:creationId xmlns:a16="http://schemas.microsoft.com/office/drawing/2014/main" id="{00000000-0008-0000-0500-00005C0C0000}"/>
                </a:ext>
              </a:extLst>
            </xdr:cNvPr>
            <xdr:cNvSpPr/>
          </xdr:nvSpPr>
          <xdr:spPr bwMode="auto">
            <a:xfrm>
              <a:off x="0" y="0"/>
              <a:ext cx="0" cy="0"/>
            </a:xfrm>
            <a:prstGeom prst="rect">
              <a:avLst/>
            </a:prstGeom>
            <a:solidFill>
              <a:srgbClr val="92D0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User Group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552450</xdr:colOff>
          <xdr:row>6</xdr:row>
          <xdr:rowOff>95250</xdr:rowOff>
        </xdr:from>
        <xdr:to>
          <xdr:col>17</xdr:col>
          <xdr:colOff>476250</xdr:colOff>
          <xdr:row>8</xdr:row>
          <xdr:rowOff>57150</xdr:rowOff>
        </xdr:to>
        <xdr:sp macro="" textlink="">
          <xdr:nvSpPr>
            <xdr:cNvPr id="3165" name="User Group 2" hidden="1">
              <a:extLst>
                <a:ext uri="{63B3BB69-23CF-44E3-9099-C40C66FF867C}">
                  <a14:compatExt spid="_x0000_s3165"/>
                </a:ext>
                <a:ext uri="{FF2B5EF4-FFF2-40B4-BE49-F238E27FC236}">
                  <a16:creationId xmlns:a16="http://schemas.microsoft.com/office/drawing/2014/main" id="{00000000-0008-0000-0500-00005D0C0000}"/>
                </a:ext>
              </a:extLst>
            </xdr:cNvPr>
            <xdr:cNvSpPr/>
          </xdr:nvSpPr>
          <xdr:spPr bwMode="auto">
            <a:xfrm>
              <a:off x="0" y="0"/>
              <a:ext cx="0" cy="0"/>
            </a:xfrm>
            <a:prstGeom prst="rect">
              <a:avLst/>
            </a:prstGeom>
            <a:solidFill>
              <a:srgbClr val="92D0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User Group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581025</xdr:colOff>
          <xdr:row>8</xdr:row>
          <xdr:rowOff>190500</xdr:rowOff>
        </xdr:from>
        <xdr:to>
          <xdr:col>14</xdr:col>
          <xdr:colOff>523875</xdr:colOff>
          <xdr:row>10</xdr:row>
          <xdr:rowOff>142875</xdr:rowOff>
        </xdr:to>
        <xdr:sp macro="" textlink="">
          <xdr:nvSpPr>
            <xdr:cNvPr id="3166" name="User Group 4" hidden="1">
              <a:extLst>
                <a:ext uri="{63B3BB69-23CF-44E3-9099-C40C66FF867C}">
                  <a14:compatExt spid="_x0000_s3166"/>
                </a:ext>
                <a:ext uri="{FF2B5EF4-FFF2-40B4-BE49-F238E27FC236}">
                  <a16:creationId xmlns:a16="http://schemas.microsoft.com/office/drawing/2014/main" id="{00000000-0008-0000-0500-00005E0C0000}"/>
                </a:ext>
              </a:extLst>
            </xdr:cNvPr>
            <xdr:cNvSpPr/>
          </xdr:nvSpPr>
          <xdr:spPr bwMode="auto">
            <a:xfrm>
              <a:off x="0" y="0"/>
              <a:ext cx="0" cy="0"/>
            </a:xfrm>
            <a:prstGeom prst="rect">
              <a:avLst/>
            </a:prstGeom>
            <a:solidFill>
              <a:srgbClr val="92D0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User Group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552450</xdr:colOff>
          <xdr:row>8</xdr:row>
          <xdr:rowOff>200025</xdr:rowOff>
        </xdr:from>
        <xdr:to>
          <xdr:col>17</xdr:col>
          <xdr:colOff>476250</xdr:colOff>
          <xdr:row>10</xdr:row>
          <xdr:rowOff>142875</xdr:rowOff>
        </xdr:to>
        <xdr:sp macro="" textlink="">
          <xdr:nvSpPr>
            <xdr:cNvPr id="3167" name="User Group 5" hidden="1">
              <a:extLst>
                <a:ext uri="{63B3BB69-23CF-44E3-9099-C40C66FF867C}">
                  <a14:compatExt spid="_x0000_s3167"/>
                </a:ext>
                <a:ext uri="{FF2B5EF4-FFF2-40B4-BE49-F238E27FC236}">
                  <a16:creationId xmlns:a16="http://schemas.microsoft.com/office/drawing/2014/main" id="{00000000-0008-0000-0500-00005F0C0000}"/>
                </a:ext>
              </a:extLst>
            </xdr:cNvPr>
            <xdr:cNvSpPr/>
          </xdr:nvSpPr>
          <xdr:spPr bwMode="auto">
            <a:xfrm>
              <a:off x="0" y="0"/>
              <a:ext cx="0" cy="0"/>
            </a:xfrm>
            <a:prstGeom prst="rect">
              <a:avLst/>
            </a:prstGeom>
            <a:solidFill>
              <a:srgbClr val="92D0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User Group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xdr:row>
          <xdr:rowOff>95250</xdr:rowOff>
        </xdr:from>
        <xdr:to>
          <xdr:col>19</xdr:col>
          <xdr:colOff>476250</xdr:colOff>
          <xdr:row>8</xdr:row>
          <xdr:rowOff>57150</xdr:rowOff>
        </xdr:to>
        <xdr:sp macro="" textlink="">
          <xdr:nvSpPr>
            <xdr:cNvPr id="3168" name="User Group 3" hidden="1">
              <a:extLst>
                <a:ext uri="{63B3BB69-23CF-44E3-9099-C40C66FF867C}">
                  <a14:compatExt spid="_x0000_s3168"/>
                </a:ext>
                <a:ext uri="{FF2B5EF4-FFF2-40B4-BE49-F238E27FC236}">
                  <a16:creationId xmlns:a16="http://schemas.microsoft.com/office/drawing/2014/main" id="{00000000-0008-0000-0500-0000600C0000}"/>
                </a:ext>
              </a:extLst>
            </xdr:cNvPr>
            <xdr:cNvSpPr/>
          </xdr:nvSpPr>
          <xdr:spPr bwMode="auto">
            <a:xfrm>
              <a:off x="0" y="0"/>
              <a:ext cx="0" cy="0"/>
            </a:xfrm>
            <a:prstGeom prst="rect">
              <a:avLst/>
            </a:prstGeom>
            <a:solidFill>
              <a:srgbClr val="92D0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User Group 3</a:t>
              </a:r>
            </a:p>
          </xdr:txBody>
        </xdr:sp>
        <xdr:clientData/>
      </xdr:twoCellAnchor>
    </mc:Choice>
    <mc:Fallback/>
  </mc:AlternateContent>
  <xdr:twoCellAnchor>
    <xdr:from>
      <xdr:col>12</xdr:col>
      <xdr:colOff>186764</xdr:colOff>
      <xdr:row>6</xdr:row>
      <xdr:rowOff>59766</xdr:rowOff>
    </xdr:from>
    <xdr:to>
      <xdr:col>19</xdr:col>
      <xdr:colOff>603249</xdr:colOff>
      <xdr:row>11</xdr:row>
      <xdr:rowOff>160246</xdr:rowOff>
    </xdr:to>
    <xdr:sp macro="" textlink="">
      <xdr:nvSpPr>
        <xdr:cNvPr id="11" name="Rectangle 10">
          <a:extLst>
            <a:ext uri="{FF2B5EF4-FFF2-40B4-BE49-F238E27FC236}">
              <a16:creationId xmlns:a16="http://schemas.microsoft.com/office/drawing/2014/main" id="{00000000-0008-0000-0500-00000B000000}"/>
            </a:ext>
          </a:extLst>
        </xdr:cNvPr>
        <xdr:cNvSpPr/>
      </xdr:nvSpPr>
      <xdr:spPr>
        <a:xfrm>
          <a:off x="17744514" y="1710766"/>
          <a:ext cx="5250423" cy="92598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12</xdr:col>
          <xdr:colOff>257175</xdr:colOff>
          <xdr:row>7</xdr:row>
          <xdr:rowOff>114300</xdr:rowOff>
        </xdr:from>
        <xdr:to>
          <xdr:col>13</xdr:col>
          <xdr:colOff>200025</xdr:colOff>
          <xdr:row>9</xdr:row>
          <xdr:rowOff>57150</xdr:rowOff>
        </xdr:to>
        <xdr:sp macro="" textlink="">
          <xdr:nvSpPr>
            <xdr:cNvPr id="3169" name="Select All" hidden="1">
              <a:extLst>
                <a:ext uri="{63B3BB69-23CF-44E3-9099-C40C66FF867C}">
                  <a14:compatExt spid="_x0000_s3169"/>
                </a:ext>
                <a:ext uri="{FF2B5EF4-FFF2-40B4-BE49-F238E27FC236}">
                  <a16:creationId xmlns:a16="http://schemas.microsoft.com/office/drawing/2014/main" id="{00000000-0008-0000-0500-0000610C0000}"/>
                </a:ext>
              </a:extLst>
            </xdr:cNvPr>
            <xdr:cNvSpPr/>
          </xdr:nvSpPr>
          <xdr:spPr bwMode="auto">
            <a:xfrm>
              <a:off x="0" y="0"/>
              <a:ext cx="0" cy="0"/>
            </a:xfrm>
            <a:prstGeom prst="rect">
              <a:avLst/>
            </a:prstGeom>
            <a:solidFill>
              <a:srgbClr val="92D0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Select All</a:t>
              </a:r>
            </a:p>
          </xdr:txBody>
        </xdr:sp>
        <xdr:clientData/>
      </xdr:twoCellAnchor>
    </mc:Choice>
    <mc:Fallback/>
  </mc:AlternateContent>
  <xdr:twoCellAnchor>
    <xdr:from>
      <xdr:col>10</xdr:col>
      <xdr:colOff>0</xdr:colOff>
      <xdr:row>1</xdr:row>
      <xdr:rowOff>37354</xdr:rowOff>
    </xdr:from>
    <xdr:to>
      <xdr:col>11</xdr:col>
      <xdr:colOff>1534459</xdr:colOff>
      <xdr:row>5</xdr:row>
      <xdr:rowOff>14703</xdr:rowOff>
    </xdr:to>
    <xdr:grpSp>
      <xdr:nvGrpSpPr>
        <xdr:cNvPr id="13" name="Group 12">
          <a:extLst>
            <a:ext uri="{FF2B5EF4-FFF2-40B4-BE49-F238E27FC236}">
              <a16:creationId xmlns:a16="http://schemas.microsoft.com/office/drawing/2014/main" id="{00000000-0008-0000-0500-00000D000000}"/>
            </a:ext>
          </a:extLst>
        </xdr:cNvPr>
        <xdr:cNvGrpSpPr/>
      </xdr:nvGrpSpPr>
      <xdr:grpSpPr>
        <a:xfrm>
          <a:off x="14287500" y="481854"/>
          <a:ext cx="3201334" cy="977474"/>
          <a:chOff x="5092700" y="3378200"/>
          <a:chExt cx="3200400" cy="978408"/>
        </a:xfrm>
      </xdr:grpSpPr>
      <xdr:sp macro="[0]!RefreshAll.RefreshAll" textlink="">
        <xdr:nvSpPr>
          <xdr:cNvPr id="14" name="Rectangle 13">
            <a:extLst>
              <a:ext uri="{FF2B5EF4-FFF2-40B4-BE49-F238E27FC236}">
                <a16:creationId xmlns:a16="http://schemas.microsoft.com/office/drawing/2014/main" id="{00000000-0008-0000-0500-00000E000000}"/>
              </a:ext>
            </a:extLst>
          </xdr:cNvPr>
          <xdr:cNvSpPr/>
        </xdr:nvSpPr>
        <xdr:spPr>
          <a:xfrm>
            <a:off x="5092700" y="3378200"/>
            <a:ext cx="3200400" cy="978408"/>
          </a:xfrm>
          <a:prstGeom prst="rect">
            <a:avLst/>
          </a:prstGeom>
          <a:solidFill>
            <a:srgbClr val="002060"/>
          </a:solidFill>
          <a:ln>
            <a:solidFill>
              <a:srgbClr val="0070C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2400" b="0">
                <a:solidFill>
                  <a:schemeClr val="lt1"/>
                </a:solidFill>
                <a:latin typeface="Segoe UI Light" panose="020B0502040204020203" pitchFamily="34" charset="0"/>
                <a:ea typeface="+mn-ea"/>
                <a:cs typeface="Segoe UI Light" panose="020B0502040204020203" pitchFamily="34" charset="0"/>
              </a:rPr>
              <a:t> Refresh</a:t>
            </a:r>
            <a:r>
              <a:rPr lang="en-US" sz="2400" b="0" baseline="0">
                <a:solidFill>
                  <a:schemeClr val="lt1"/>
                </a:solidFill>
                <a:latin typeface="Segoe UI Light" panose="020B0502040204020203" pitchFamily="34" charset="0"/>
                <a:ea typeface="+mn-ea"/>
                <a:cs typeface="Segoe UI Light" panose="020B0502040204020203" pitchFamily="34" charset="0"/>
              </a:rPr>
              <a:t> </a:t>
            </a:r>
            <a:r>
              <a:rPr lang="en-US" sz="2400" b="0">
                <a:solidFill>
                  <a:schemeClr val="lt1"/>
                </a:solidFill>
                <a:latin typeface="Segoe UI Light" panose="020B0502040204020203" pitchFamily="34" charset="0"/>
                <a:ea typeface="+mn-ea"/>
                <a:cs typeface="Segoe UI Light" panose="020B0502040204020203" pitchFamily="34" charset="0"/>
              </a:rPr>
              <a:t>All</a:t>
            </a:r>
          </a:p>
        </xdr:txBody>
      </xdr:sp>
      <xdr:pic>
        <xdr:nvPicPr>
          <xdr:cNvPr id="15" name="Picture 14">
            <a:extLst>
              <a:ext uri="{FF2B5EF4-FFF2-40B4-BE49-F238E27FC236}">
                <a16:creationId xmlns:a16="http://schemas.microsoft.com/office/drawing/2014/main" id="{00000000-0008-0000-0500-00000F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900" y="3517900"/>
            <a:ext cx="754428" cy="731207"/>
          </a:xfrm>
          <a:prstGeom prst="rect">
            <a:avLst/>
          </a:prstGeom>
          <a:noFill/>
          <a:ln w="19050">
            <a:noFill/>
          </a:ln>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93819</xdr:colOff>
      <xdr:row>73</xdr:row>
      <xdr:rowOff>92395</xdr:rowOff>
    </xdr:from>
    <xdr:to>
      <xdr:col>9</xdr:col>
      <xdr:colOff>22411</xdr:colOff>
      <xdr:row>88</xdr:row>
      <xdr:rowOff>140970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353377</xdr:colOff>
      <xdr:row>0</xdr:row>
      <xdr:rowOff>95250</xdr:rowOff>
    </xdr:from>
    <xdr:to>
      <xdr:col>7</xdr:col>
      <xdr:colOff>1830169</xdr:colOff>
      <xdr:row>1</xdr:row>
      <xdr:rowOff>2831</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xdr:blipFill>
      <xdr:spPr bwMode="auto">
        <a:xfrm>
          <a:off x="11759565" y="95250"/>
          <a:ext cx="1476792" cy="348112"/>
        </a:xfrm>
        <a:prstGeom prst="rect">
          <a:avLst/>
        </a:prstGeom>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1903</xdr:colOff>
      <xdr:row>23</xdr:row>
      <xdr:rowOff>17620</xdr:rowOff>
    </xdr:from>
    <xdr:to>
      <xdr:col>9</xdr:col>
      <xdr:colOff>15715</xdr:colOff>
      <xdr:row>41</xdr:row>
      <xdr:rowOff>95250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352288</xdr:colOff>
      <xdr:row>0</xdr:row>
      <xdr:rowOff>86541</xdr:rowOff>
    </xdr:from>
    <xdr:to>
      <xdr:col>7</xdr:col>
      <xdr:colOff>1829080</xdr:colOff>
      <xdr:row>1</xdr:row>
      <xdr:rowOff>3647</xdr:rowOff>
    </xdr:to>
    <xdr:pic>
      <xdr:nvPicPr>
        <xdr:cNvPr id="5" name="Picture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xdr:blipFill>
      <xdr:spPr bwMode="auto">
        <a:xfrm>
          <a:off x="11782288" y="86541"/>
          <a:ext cx="1476792" cy="355256"/>
        </a:xfrm>
        <a:prstGeom prst="rect">
          <a:avLst/>
        </a:prstGeom>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215</xdr:row>
      <xdr:rowOff>96678</xdr:rowOff>
    </xdr:from>
    <xdr:to>
      <xdr:col>4</xdr:col>
      <xdr:colOff>816651</xdr:colOff>
      <xdr:row>229</xdr:row>
      <xdr:rowOff>202748</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1162607</xdr:colOff>
      <xdr:row>215</xdr:row>
      <xdr:rowOff>95250</xdr:rowOff>
    </xdr:from>
    <xdr:to>
      <xdr:col>9</xdr:col>
      <xdr:colOff>15716</xdr:colOff>
      <xdr:row>229</xdr:row>
      <xdr:rowOff>202406</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359568</xdr:colOff>
      <xdr:row>0</xdr:row>
      <xdr:rowOff>92869</xdr:rowOff>
    </xdr:from>
    <xdr:to>
      <xdr:col>8</xdr:col>
      <xdr:colOff>15268</xdr:colOff>
      <xdr:row>1</xdr:row>
      <xdr:rowOff>1836</xdr:rowOff>
    </xdr:to>
    <xdr:pic>
      <xdr:nvPicPr>
        <xdr:cNvPr id="6" name="Picture 5">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xdr:blipFill>
      <xdr:spPr bwMode="auto">
        <a:xfrm>
          <a:off x="11789568" y="92869"/>
          <a:ext cx="1490215" cy="347117"/>
        </a:xfrm>
        <a:prstGeom prst="rect">
          <a:avLst/>
        </a:prstGeom>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190499</xdr:colOff>
      <xdr:row>0</xdr:row>
      <xdr:rowOff>78441</xdr:rowOff>
    </xdr:from>
    <xdr:to>
      <xdr:col>5</xdr:col>
      <xdr:colOff>1685869</xdr:colOff>
      <xdr:row>0</xdr:row>
      <xdr:rowOff>424437</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xdr:blipFill>
      <xdr:spPr bwMode="auto">
        <a:xfrm>
          <a:off x="9659470" y="78441"/>
          <a:ext cx="1495370" cy="345996"/>
        </a:xfrm>
        <a:prstGeom prst="rect">
          <a:avLst/>
        </a:prstGeom>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369730</xdr:colOff>
      <xdr:row>0</xdr:row>
      <xdr:rowOff>95677</xdr:rowOff>
    </xdr:from>
    <xdr:to>
      <xdr:col>8</xdr:col>
      <xdr:colOff>20970</xdr:colOff>
      <xdr:row>0</xdr:row>
      <xdr:rowOff>422801</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1775918" y="95677"/>
          <a:ext cx="1490517" cy="3271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116028</xdr:colOff>
      <xdr:row>6</xdr:row>
      <xdr:rowOff>120881</xdr:rowOff>
    </xdr:from>
    <xdr:to>
      <xdr:col>20</xdr:col>
      <xdr:colOff>548622</xdr:colOff>
      <xdr:row>26</xdr:row>
      <xdr:rowOff>196568</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112058</xdr:colOff>
      <xdr:row>27</xdr:row>
      <xdr:rowOff>31284</xdr:rowOff>
    </xdr:from>
    <xdr:to>
      <xdr:col>20</xdr:col>
      <xdr:colOff>544652</xdr:colOff>
      <xdr:row>107</xdr:row>
      <xdr:rowOff>81290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316706</xdr:colOff>
      <xdr:row>0</xdr:row>
      <xdr:rowOff>95727</xdr:rowOff>
    </xdr:from>
    <xdr:to>
      <xdr:col>8</xdr:col>
      <xdr:colOff>1825321</xdr:colOff>
      <xdr:row>1</xdr:row>
      <xdr:rowOff>1370</xdr:rowOff>
    </xdr:to>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bwMode="auto">
        <a:xfrm>
          <a:off x="13585031" y="95727"/>
          <a:ext cx="1508615" cy="3342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2136586</xdr:colOff>
      <xdr:row>110</xdr:row>
      <xdr:rowOff>164352</xdr:rowOff>
    </xdr:from>
    <xdr:to>
      <xdr:col>21</xdr:col>
      <xdr:colOff>411408</xdr:colOff>
      <xdr:row>127</xdr:row>
      <xdr:rowOff>22708</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4"/>
        <a:stretch>
          <a:fillRect/>
        </a:stretch>
      </xdr:blipFill>
      <xdr:spPr>
        <a:xfrm>
          <a:off x="17794939" y="10399058"/>
          <a:ext cx="6096528" cy="342929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2474596</xdr:colOff>
      <xdr:row>1</xdr:row>
      <xdr:rowOff>49529</xdr:rowOff>
    </xdr:from>
    <xdr:to>
      <xdr:col>2</xdr:col>
      <xdr:colOff>4440556</xdr:colOff>
      <xdr:row>1</xdr:row>
      <xdr:rowOff>438065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4712971" y="154304"/>
          <a:ext cx="1969770" cy="401871"/>
        </a:xfrm>
        <a:prstGeom prst="rect">
          <a:avLst/>
        </a:prstGeom>
      </xdr:spPr>
    </xdr:pic>
    <xdr:clientData/>
  </xdr:twoCellAnchor>
  <xdr:twoCellAnchor editAs="oneCell">
    <xdr:from>
      <xdr:col>1</xdr:col>
      <xdr:colOff>36195</xdr:colOff>
      <xdr:row>30</xdr:row>
      <xdr:rowOff>76200</xdr:rowOff>
    </xdr:from>
    <xdr:to>
      <xdr:col>2</xdr:col>
      <xdr:colOff>4303394</xdr:colOff>
      <xdr:row>39</xdr:row>
      <xdr:rowOff>97017</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160020" y="7439025"/>
          <a:ext cx="6374129" cy="1910577"/>
        </a:xfrm>
        <a:prstGeom prst="rect">
          <a:avLst/>
        </a:prstGeom>
        <a:ln>
          <a:noFill/>
        </a:ln>
        <a:effectLst>
          <a:outerShdw blurRad="292100" dist="139700" dir="2700000" algn="tl" rotWithShape="0">
            <a:srgbClr val="333333">
              <a:alpha val="65000"/>
            </a:srgbClr>
          </a:outerShd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BEA96-6DF6-4C3D-8A01-88EA4287788E}">
  <sheetPr codeName="Sheet1">
    <tabColor theme="1"/>
    <pageSetUpPr fitToPage="1"/>
  </sheetPr>
  <dimension ref="A1:D43"/>
  <sheetViews>
    <sheetView showGridLines="0" tabSelected="1" zoomScale="85" zoomScaleNormal="85" workbookViewId="0"/>
  </sheetViews>
  <sheetFormatPr defaultColWidth="9" defaultRowHeight="14.25" x14ac:dyDescent="0.25"/>
  <cols>
    <col min="1" max="1" width="1.85546875" style="1" customWidth="1"/>
    <col min="2" max="2" width="41.42578125" style="1" customWidth="1"/>
    <col min="3" max="3" width="127.140625" style="1" bestFit="1" customWidth="1"/>
    <col min="4" max="16384" width="9" style="1"/>
  </cols>
  <sheetData>
    <row r="1" spans="1:3" ht="35.1" customHeight="1" x14ac:dyDescent="0.25">
      <c r="A1" s="1" t="s">
        <v>441</v>
      </c>
      <c r="B1" s="370" t="s">
        <v>550</v>
      </c>
      <c r="C1" s="370"/>
    </row>
    <row r="2" spans="1:3" ht="17.45" customHeight="1" x14ac:dyDescent="0.25">
      <c r="B2" s="372" t="s">
        <v>9</v>
      </c>
      <c r="C2" s="372"/>
    </row>
    <row r="3" spans="1:3" ht="23.45" customHeight="1" x14ac:dyDescent="0.25">
      <c r="B3" s="371" t="s">
        <v>495</v>
      </c>
      <c r="C3" s="371"/>
    </row>
    <row r="4" spans="1:3" ht="17.45" customHeight="1" x14ac:dyDescent="0.25">
      <c r="B4" s="22"/>
      <c r="C4" s="22"/>
    </row>
    <row r="5" spans="1:3" ht="17.45" customHeight="1" x14ac:dyDescent="0.25">
      <c r="B5" s="24" t="s">
        <v>149</v>
      </c>
      <c r="C5" s="22" t="s">
        <v>551</v>
      </c>
    </row>
    <row r="6" spans="1:3" ht="9" customHeight="1" x14ac:dyDescent="0.25">
      <c r="B6" s="22"/>
      <c r="C6" s="22"/>
    </row>
    <row r="7" spans="1:3" ht="17.45" customHeight="1" x14ac:dyDescent="0.25">
      <c r="B7" s="24" t="s">
        <v>150</v>
      </c>
      <c r="C7" s="22" t="s">
        <v>496</v>
      </c>
    </row>
    <row r="8" spans="1:3" ht="9" customHeight="1" x14ac:dyDescent="0.25">
      <c r="B8" s="24"/>
      <c r="C8" s="22"/>
    </row>
    <row r="9" spans="1:3" ht="17.45" customHeight="1" x14ac:dyDescent="0.25">
      <c r="B9" s="24" t="s">
        <v>151</v>
      </c>
      <c r="C9" s="25" t="s">
        <v>2</v>
      </c>
    </row>
    <row r="10" spans="1:3" ht="17.45" customHeight="1" x14ac:dyDescent="0.25">
      <c r="B10" s="23"/>
      <c r="C10" s="25"/>
    </row>
    <row r="11" spans="1:3" ht="17.45" customHeight="1" x14ac:dyDescent="0.25">
      <c r="B11" s="8" t="s">
        <v>418</v>
      </c>
      <c r="C11" s="225"/>
    </row>
    <row r="12" spans="1:3" ht="17.45" customHeight="1" x14ac:dyDescent="0.25">
      <c r="B12" s="12" t="s">
        <v>466</v>
      </c>
      <c r="C12" s="9" t="s">
        <v>532</v>
      </c>
    </row>
    <row r="13" spans="1:3" ht="17.45" customHeight="1" x14ac:dyDescent="0.3">
      <c r="B13" s="5"/>
      <c r="C13" s="222"/>
    </row>
    <row r="14" spans="1:3" ht="17.45" customHeight="1" x14ac:dyDescent="0.25">
      <c r="B14" s="8" t="s">
        <v>419</v>
      </c>
      <c r="C14" s="223"/>
    </row>
    <row r="15" spans="1:3" ht="17.45" customHeight="1" x14ac:dyDescent="0.25">
      <c r="B15" s="13" t="s">
        <v>130</v>
      </c>
      <c r="C15" s="9" t="s">
        <v>497</v>
      </c>
    </row>
    <row r="16" spans="1:3" ht="17.45" customHeight="1" x14ac:dyDescent="0.25">
      <c r="B16" s="14" t="s">
        <v>505</v>
      </c>
      <c r="C16" s="9" t="s">
        <v>506</v>
      </c>
    </row>
    <row r="17" spans="2:3" ht="17.45" customHeight="1" x14ac:dyDescent="0.25">
      <c r="B17" s="14" t="s">
        <v>152</v>
      </c>
      <c r="C17" s="9" t="s">
        <v>498</v>
      </c>
    </row>
    <row r="18" spans="2:3" ht="17.45" customHeight="1" x14ac:dyDescent="0.25">
      <c r="B18" s="14" t="s">
        <v>153</v>
      </c>
      <c r="C18" s="9" t="s">
        <v>155</v>
      </c>
    </row>
    <row r="19" spans="2:3" ht="17.45" customHeight="1" x14ac:dyDescent="0.25">
      <c r="B19" s="15" t="s">
        <v>516</v>
      </c>
      <c r="C19" s="9" t="s">
        <v>522</v>
      </c>
    </row>
    <row r="20" spans="2:3" ht="17.45" customHeight="1" x14ac:dyDescent="0.25">
      <c r="B20" s="16" t="s">
        <v>332</v>
      </c>
      <c r="C20" s="9" t="s">
        <v>499</v>
      </c>
    </row>
    <row r="21" spans="2:3" ht="17.45" customHeight="1" x14ac:dyDescent="0.3">
      <c r="B21" s="5"/>
      <c r="C21" s="224"/>
    </row>
    <row r="22" spans="2:3" ht="17.45" customHeight="1" x14ac:dyDescent="0.25">
      <c r="B22" s="8" t="s">
        <v>420</v>
      </c>
      <c r="C22" s="223"/>
    </row>
    <row r="23" spans="2:3" ht="17.45" customHeight="1" x14ac:dyDescent="0.25">
      <c r="B23" s="10" t="s">
        <v>285</v>
      </c>
      <c r="C23" s="9" t="s">
        <v>286</v>
      </c>
    </row>
    <row r="24" spans="2:3" ht="17.45" customHeight="1" x14ac:dyDescent="0.25">
      <c r="B24" s="11" t="s">
        <v>154</v>
      </c>
      <c r="C24" s="9" t="s">
        <v>157</v>
      </c>
    </row>
    <row r="25" spans="2:3" ht="17.45" customHeight="1" x14ac:dyDescent="0.3">
      <c r="B25" s="6"/>
      <c r="C25" s="6"/>
    </row>
    <row r="26" spans="2:3" ht="17.45" customHeight="1" x14ac:dyDescent="0.25">
      <c r="B26" s="17" t="s">
        <v>156</v>
      </c>
      <c r="C26" s="18"/>
    </row>
    <row r="27" spans="2:3" ht="17.45" customHeight="1" x14ac:dyDescent="0.25">
      <c r="B27" s="19" t="s">
        <v>283</v>
      </c>
      <c r="C27" s="18" t="s">
        <v>501</v>
      </c>
    </row>
    <row r="28" spans="2:3" ht="17.45" customHeight="1" x14ac:dyDescent="0.25">
      <c r="B28" s="244" t="s">
        <v>284</v>
      </c>
      <c r="C28" s="18" t="s">
        <v>501</v>
      </c>
    </row>
    <row r="29" spans="2:3" ht="17.45" customHeight="1" x14ac:dyDescent="0.25">
      <c r="B29" s="20" t="s">
        <v>288</v>
      </c>
      <c r="C29" s="18" t="s">
        <v>500</v>
      </c>
    </row>
    <row r="30" spans="2:3" ht="17.45" customHeight="1" x14ac:dyDescent="0.25">
      <c r="B30" s="7" t="s">
        <v>287</v>
      </c>
      <c r="C30" s="18" t="s">
        <v>500</v>
      </c>
    </row>
    <row r="31" spans="2:3" ht="17.45" customHeight="1" x14ac:dyDescent="0.25">
      <c r="B31" s="21" t="s">
        <v>158</v>
      </c>
      <c r="C31" s="18" t="s">
        <v>500</v>
      </c>
    </row>
    <row r="32" spans="2:3" ht="17.45" customHeight="1" x14ac:dyDescent="0.25">
      <c r="B32" s="355" t="s">
        <v>531</v>
      </c>
      <c r="C32" s="18"/>
    </row>
    <row r="33" spans="2:4" ht="17.45" customHeight="1" x14ac:dyDescent="0.25">
      <c r="B33" s="18"/>
      <c r="C33" s="18"/>
    </row>
    <row r="34" spans="2:4" ht="17.45" customHeight="1" x14ac:dyDescent="0.25">
      <c r="B34" s="17" t="s">
        <v>210</v>
      </c>
      <c r="C34" s="18"/>
    </row>
    <row r="35" spans="2:4" ht="17.45" customHeight="1" x14ac:dyDescent="0.25">
      <c r="B35" s="18"/>
      <c r="C35" s="18" t="s">
        <v>502</v>
      </c>
    </row>
    <row r="36" spans="2:4" ht="16.5" x14ac:dyDescent="0.3">
      <c r="B36" s="6"/>
      <c r="C36" s="6"/>
    </row>
    <row r="37" spans="2:4" ht="16.5" x14ac:dyDescent="0.3">
      <c r="B37" s="6"/>
      <c r="C37" s="6"/>
    </row>
    <row r="43" spans="2:4" ht="15" x14ac:dyDescent="0.25">
      <c r="D43" s="4"/>
    </row>
  </sheetData>
  <sheetProtection sheet="1" objects="1" scenarios="1"/>
  <mergeCells count="3">
    <mergeCell ref="B1:C1"/>
    <mergeCell ref="B3:C3"/>
    <mergeCell ref="B2:C2"/>
  </mergeCells>
  <pageMargins left="0.7" right="0.7" top="0.75" bottom="0.75" header="0.3" footer="0.3"/>
  <pageSetup scale="7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A9A36-7FF1-47EF-9B03-380EA28B9B2D}">
  <sheetPr codeName="Sheet12"/>
  <dimension ref="A1:C3"/>
  <sheetViews>
    <sheetView showGridLines="0" workbookViewId="0"/>
  </sheetViews>
  <sheetFormatPr defaultRowHeight="14.25" x14ac:dyDescent="0.25"/>
  <cols>
    <col min="1" max="1" width="18.5703125" customWidth="1"/>
    <col min="2" max="2" width="13.85546875" customWidth="1"/>
    <col min="3" max="3" width="82.7109375" customWidth="1"/>
  </cols>
  <sheetData>
    <row r="1" spans="1:3" ht="15" x14ac:dyDescent="0.25">
      <c r="A1" s="309" t="s">
        <v>512</v>
      </c>
      <c r="B1" s="309" t="s">
        <v>515</v>
      </c>
      <c r="C1" s="309" t="s">
        <v>514</v>
      </c>
    </row>
    <row r="2" spans="1:3" ht="15" x14ac:dyDescent="0.25">
      <c r="A2" s="306" t="s">
        <v>513</v>
      </c>
      <c r="B2" s="307">
        <v>43649</v>
      </c>
      <c r="C2" s="308"/>
    </row>
    <row r="3" spans="1:3" ht="90" x14ac:dyDescent="0.25">
      <c r="A3" s="359" t="s">
        <v>525</v>
      </c>
      <c r="B3" s="364">
        <v>43672</v>
      </c>
      <c r="C3" s="358" t="s">
        <v>582</v>
      </c>
    </row>
  </sheetData>
  <sheetProtection algorithmName="SHA-512" hashValue="e/rfWtelaIB07S62/kKjZGrzK8+B8y2YWgh8DdQ78n1ZnXjzN4731L1/pPh2r/AmzYehYJaISqSK3UvHCai+kg==" saltValue="8kktVk4WuRyfvyLSwdAxRQ=="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5B2FE-ED55-407D-BC01-3605452DF3D1}">
  <sheetPr codeName="Sheet7"/>
  <dimension ref="A1"/>
  <sheetViews>
    <sheetView showGridLines="0" workbookViewId="0"/>
  </sheetViews>
  <sheetFormatPr defaultRowHeight="14.25" x14ac:dyDescent="0.25"/>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1FB0-EAE8-4262-B6C7-FF2A23C9A8B7}">
  <sheetPr codeName="Sheet10">
    <tabColor rgb="FF7030A0"/>
    <pageSetUpPr fitToPage="1"/>
  </sheetPr>
  <dimension ref="A1:N180"/>
  <sheetViews>
    <sheetView showGridLines="0" zoomScale="80" zoomScaleNormal="80" workbookViewId="0"/>
  </sheetViews>
  <sheetFormatPr defaultColWidth="9" defaultRowHeight="16.5" outlineLevelRow="2" outlineLevelCol="1" x14ac:dyDescent="0.3"/>
  <cols>
    <col min="1" max="2" width="1.85546875" style="27" customWidth="1"/>
    <col min="3" max="3" width="65" style="27" customWidth="1"/>
    <col min="4" max="4" width="26.85546875" style="27" customWidth="1"/>
    <col min="5" max="8" width="26.85546875" style="27" customWidth="1" outlineLevel="1"/>
    <col min="9" max="9" width="1.85546875" style="27" customWidth="1"/>
    <col min="10" max="10" width="1.85546875" style="32" customWidth="1"/>
    <col min="11" max="11" width="46" style="27" customWidth="1"/>
    <col min="12" max="12" width="16.5703125" style="27" customWidth="1"/>
    <col min="13" max="13" width="17.140625" style="27" customWidth="1"/>
    <col min="14" max="14" width="18.140625" style="27" customWidth="1"/>
    <col min="15" max="16384" width="9" style="27"/>
  </cols>
  <sheetData>
    <row r="1" spans="2:14" s="26" customFormat="1" ht="35.1" customHeight="1" x14ac:dyDescent="0.3">
      <c r="B1" s="373" t="s">
        <v>550</v>
      </c>
      <c r="C1" s="373"/>
      <c r="D1" s="373"/>
      <c r="E1" s="373"/>
      <c r="F1" s="373"/>
      <c r="G1" s="373"/>
      <c r="H1" s="373"/>
      <c r="I1" s="373"/>
      <c r="J1" s="117"/>
    </row>
    <row r="2" spans="2:14" ht="20.100000000000001" customHeight="1" x14ac:dyDescent="0.3">
      <c r="B2" s="374" t="e">
        <f ca="1">MID(CELL("filename",B1),FIND("]",CELL("filename",B1))+1,255)</f>
        <v>#VALUE!</v>
      </c>
      <c r="C2" s="374"/>
      <c r="D2" s="374"/>
      <c r="E2" s="374"/>
      <c r="F2" s="374"/>
      <c r="G2" s="374"/>
      <c r="H2" s="374"/>
      <c r="I2" s="374"/>
      <c r="J2" s="118"/>
      <c r="M2" s="37" t="s">
        <v>521</v>
      </c>
      <c r="N2" s="330">
        <v>43661.595856481479</v>
      </c>
    </row>
    <row r="4" spans="2:14" s="6" customFormat="1" ht="72" x14ac:dyDescent="0.3">
      <c r="B4" s="80"/>
      <c r="C4" s="87" t="s">
        <v>504</v>
      </c>
      <c r="D4" s="81"/>
      <c r="E4" s="80"/>
      <c r="F4" s="80"/>
      <c r="G4" s="80"/>
      <c r="H4" s="80"/>
      <c r="I4" s="80"/>
      <c r="J4" s="119"/>
      <c r="K4" s="31" t="s">
        <v>156</v>
      </c>
      <c r="M4" s="310" t="s">
        <v>520</v>
      </c>
    </row>
    <row r="5" spans="2:14" ht="16.899999999999999" customHeight="1" x14ac:dyDescent="0.3">
      <c r="B5" s="28"/>
      <c r="C5" s="30"/>
      <c r="D5" s="29"/>
      <c r="E5" s="28"/>
      <c r="F5" s="28"/>
      <c r="G5" s="28"/>
      <c r="H5" s="28"/>
      <c r="I5" s="28"/>
      <c r="J5" s="33"/>
      <c r="K5" s="83" t="s">
        <v>283</v>
      </c>
    </row>
    <row r="6" spans="2:14" x14ac:dyDescent="0.3">
      <c r="B6" s="28"/>
      <c r="C6" s="45" t="s">
        <v>367</v>
      </c>
      <c r="D6" s="29"/>
      <c r="E6" s="28"/>
      <c r="F6" s="28"/>
      <c r="G6" s="28"/>
      <c r="H6" s="28"/>
      <c r="I6" s="28"/>
      <c r="J6" s="33"/>
      <c r="K6" s="243" t="s">
        <v>284</v>
      </c>
    </row>
    <row r="7" spans="2:14" x14ac:dyDescent="0.3">
      <c r="B7" s="28"/>
      <c r="C7" s="44" t="s">
        <v>12</v>
      </c>
      <c r="D7" s="314" t="s">
        <v>13</v>
      </c>
      <c r="E7" s="28"/>
      <c r="F7" s="28"/>
      <c r="G7" s="28"/>
      <c r="H7" s="28"/>
      <c r="I7" s="28"/>
      <c r="J7" s="33"/>
      <c r="K7" s="84" t="s">
        <v>288</v>
      </c>
      <c r="L7" s="27" t="s">
        <v>503</v>
      </c>
    </row>
    <row r="8" spans="2:14" x14ac:dyDescent="0.3">
      <c r="B8" s="28"/>
      <c r="C8" s="44" t="s">
        <v>524</v>
      </c>
      <c r="D8" s="314" t="s">
        <v>330</v>
      </c>
      <c r="E8" s="28"/>
      <c r="F8" s="28"/>
      <c r="G8" s="28"/>
      <c r="H8" s="28"/>
      <c r="I8" s="28"/>
      <c r="J8" s="33"/>
      <c r="K8" s="85" t="s">
        <v>158</v>
      </c>
      <c r="L8" s="27" t="s">
        <v>503</v>
      </c>
    </row>
    <row r="9" spans="2:14" x14ac:dyDescent="0.3">
      <c r="B9" s="28"/>
      <c r="C9" s="311" t="s">
        <v>552</v>
      </c>
      <c r="D9" s="29"/>
      <c r="E9" s="28"/>
      <c r="F9" s="28"/>
      <c r="G9" s="28"/>
      <c r="H9" s="28"/>
      <c r="I9" s="28"/>
      <c r="J9" s="33"/>
      <c r="K9" s="86" t="s">
        <v>326</v>
      </c>
      <c r="L9" s="27" t="s">
        <v>503</v>
      </c>
    </row>
    <row r="10" spans="2:14" x14ac:dyDescent="0.3">
      <c r="B10" s="28"/>
      <c r="C10" s="311" t="s">
        <v>553</v>
      </c>
      <c r="D10" s="29"/>
      <c r="E10" s="28"/>
      <c r="F10" s="28"/>
      <c r="G10" s="28"/>
      <c r="H10" s="28"/>
      <c r="I10" s="28"/>
      <c r="J10" s="33"/>
    </row>
    <row r="11" spans="2:14" ht="20.25" x14ac:dyDescent="0.3">
      <c r="B11" s="28"/>
      <c r="C11" s="30"/>
      <c r="D11" s="29" t="s">
        <v>457</v>
      </c>
      <c r="E11" s="28"/>
      <c r="F11" s="28"/>
      <c r="G11" s="28"/>
      <c r="H11" s="28"/>
      <c r="I11" s="28"/>
      <c r="J11" s="33"/>
    </row>
    <row r="12" spans="2:14" ht="17.25" x14ac:dyDescent="0.3">
      <c r="B12" s="28"/>
      <c r="C12" s="45" t="s">
        <v>267</v>
      </c>
      <c r="D12" s="48" t="s">
        <v>126</v>
      </c>
      <c r="E12" s="48" t="s">
        <v>132</v>
      </c>
      <c r="F12" s="48" t="s">
        <v>133</v>
      </c>
      <c r="G12" s="48" t="s">
        <v>134</v>
      </c>
      <c r="H12" s="48" t="s">
        <v>135</v>
      </c>
      <c r="I12" s="28"/>
      <c r="J12" s="33"/>
    </row>
    <row r="13" spans="2:14" x14ac:dyDescent="0.3">
      <c r="B13" s="28"/>
      <c r="C13" s="47" t="s">
        <v>459</v>
      </c>
      <c r="D13" s="314" t="s">
        <v>368</v>
      </c>
      <c r="E13" s="314"/>
      <c r="F13" s="314"/>
      <c r="G13" s="314"/>
      <c r="H13" s="314"/>
      <c r="I13" s="28"/>
      <c r="J13" s="33"/>
    </row>
    <row r="14" spans="2:14" x14ac:dyDescent="0.3">
      <c r="B14" s="28"/>
      <c r="C14" s="28"/>
      <c r="D14" s="29"/>
      <c r="E14" s="28"/>
      <c r="F14" s="28"/>
      <c r="G14" s="28"/>
      <c r="H14" s="28"/>
      <c r="I14" s="28"/>
      <c r="J14" s="33"/>
    </row>
    <row r="15" spans="2:14" x14ac:dyDescent="0.3">
      <c r="B15" s="28"/>
      <c r="C15" s="45" t="s">
        <v>414</v>
      </c>
      <c r="D15" s="28"/>
      <c r="E15" s="28"/>
      <c r="F15" s="28"/>
      <c r="G15" s="28"/>
      <c r="H15" s="28"/>
      <c r="I15" s="28"/>
      <c r="J15" s="33"/>
    </row>
    <row r="16" spans="2:14" x14ac:dyDescent="0.3">
      <c r="B16" s="28"/>
      <c r="C16" s="44" t="s">
        <v>212</v>
      </c>
      <c r="D16" s="315" t="s">
        <v>1</v>
      </c>
      <c r="E16" s="315" t="s">
        <v>1</v>
      </c>
      <c r="F16" s="315"/>
      <c r="G16" s="315"/>
      <c r="H16" s="315"/>
      <c r="I16" s="28"/>
      <c r="J16" s="294" t="s">
        <v>456</v>
      </c>
    </row>
    <row r="17" spans="2:12" x14ac:dyDescent="0.3">
      <c r="B17" s="28"/>
      <c r="C17" s="44" t="s">
        <v>202</v>
      </c>
      <c r="D17" s="315">
        <v>1000</v>
      </c>
      <c r="E17" s="315">
        <v>25</v>
      </c>
      <c r="F17" s="315"/>
      <c r="G17" s="315"/>
      <c r="H17" s="315"/>
      <c r="I17" s="28"/>
      <c r="J17" s="33"/>
    </row>
    <row r="18" spans="2:12" x14ac:dyDescent="0.3">
      <c r="B18" s="28"/>
      <c r="C18" s="44" t="s">
        <v>415</v>
      </c>
      <c r="D18" s="316">
        <v>0.8</v>
      </c>
      <c r="E18" s="316">
        <v>0.8</v>
      </c>
      <c r="F18" s="316"/>
      <c r="G18" s="316"/>
      <c r="H18" s="316"/>
      <c r="I18" s="28"/>
      <c r="J18" s="33"/>
    </row>
    <row r="19" spans="2:12" x14ac:dyDescent="0.3">
      <c r="B19" s="28"/>
      <c r="C19" s="11" t="s">
        <v>458</v>
      </c>
      <c r="D19" s="315" t="s">
        <v>205</v>
      </c>
      <c r="E19" s="315" t="s">
        <v>205</v>
      </c>
      <c r="F19" s="315"/>
      <c r="G19" s="315"/>
      <c r="H19" s="315"/>
      <c r="I19" s="28"/>
      <c r="J19" s="33"/>
    </row>
    <row r="20" spans="2:12" x14ac:dyDescent="0.3">
      <c r="B20" s="28"/>
      <c r="C20" s="49" t="s">
        <v>526</v>
      </c>
      <c r="D20" s="314" t="s">
        <v>85</v>
      </c>
      <c r="E20" s="314" t="s">
        <v>94</v>
      </c>
      <c r="F20" s="314"/>
      <c r="G20" s="314"/>
      <c r="H20" s="314"/>
      <c r="I20" s="28"/>
      <c r="J20" s="294" t="s">
        <v>527</v>
      </c>
    </row>
    <row r="21" spans="2:12" x14ac:dyDescent="0.3">
      <c r="B21" s="28"/>
      <c r="C21" s="28"/>
      <c r="D21" s="28"/>
      <c r="E21" s="28"/>
      <c r="F21" s="28"/>
      <c r="G21" s="28"/>
      <c r="H21" s="28"/>
      <c r="I21" s="28"/>
      <c r="J21" s="33"/>
    </row>
    <row r="22" spans="2:12" x14ac:dyDescent="0.3">
      <c r="B22" s="33"/>
      <c r="I22" s="33"/>
      <c r="J22" s="33"/>
    </row>
    <row r="23" spans="2:12" ht="20.25" x14ac:dyDescent="0.3">
      <c r="B23" s="28"/>
      <c r="C23" s="30" t="s">
        <v>447</v>
      </c>
      <c r="D23" s="28"/>
      <c r="E23" s="28"/>
      <c r="F23" s="28"/>
      <c r="G23" s="28"/>
      <c r="H23" s="28"/>
      <c r="I23" s="28"/>
      <c r="J23" s="33"/>
      <c r="K23" s="62" t="s">
        <v>138</v>
      </c>
      <c r="L23" s="32"/>
    </row>
    <row r="24" spans="2:12" ht="18.600000000000001" customHeight="1" x14ac:dyDescent="0.3">
      <c r="B24" s="30"/>
      <c r="C24" s="28"/>
      <c r="D24" s="28"/>
      <c r="E24" s="28"/>
      <c r="F24" s="28"/>
      <c r="G24" s="28"/>
      <c r="H24" s="28"/>
      <c r="I24" s="88"/>
      <c r="J24" s="120"/>
      <c r="K24" s="82" t="s">
        <v>323</v>
      </c>
      <c r="L24" s="54">
        <v>730</v>
      </c>
    </row>
    <row r="25" spans="2:12" ht="18.600000000000001" customHeight="1" x14ac:dyDescent="0.3">
      <c r="B25" s="30"/>
      <c r="C25" s="62" t="s">
        <v>558</v>
      </c>
      <c r="D25" s="28"/>
      <c r="E25" s="28"/>
      <c r="F25" s="28"/>
      <c r="G25" s="28"/>
      <c r="H25" s="28"/>
      <c r="I25" s="88"/>
      <c r="J25" s="120"/>
      <c r="K25" s="82" t="s">
        <v>117</v>
      </c>
      <c r="L25" s="54">
        <v>304</v>
      </c>
    </row>
    <row r="26" spans="2:12" ht="20.25" x14ac:dyDescent="0.3">
      <c r="B26" s="30"/>
      <c r="C26" s="63" t="s">
        <v>211</v>
      </c>
      <c r="D26" s="57" t="str">
        <f>IF(D13&lt;&gt;"",D13,"")</f>
        <v>Windows 10 multi-session</v>
      </c>
      <c r="E26" s="57" t="str">
        <f>IF(E13&lt;&gt;"",E13,"")</f>
        <v/>
      </c>
      <c r="F26" s="52" t="str">
        <f>IF(F13&lt;&gt;"",F13,"")</f>
        <v/>
      </c>
      <c r="G26" s="52" t="str">
        <f>IF(G13&lt;&gt;"",G13,"")</f>
        <v/>
      </c>
      <c r="H26" s="52" t="str">
        <f>IF(H13&lt;&gt;"",H13,"")</f>
        <v/>
      </c>
      <c r="I26" s="88"/>
      <c r="J26" s="120"/>
      <c r="K26" s="82" t="s">
        <v>231</v>
      </c>
      <c r="L26" s="54">
        <v>1</v>
      </c>
    </row>
    <row r="27" spans="2:12" ht="20.25" x14ac:dyDescent="0.3">
      <c r="B27" s="30"/>
      <c r="C27" s="50" t="s">
        <v>458</v>
      </c>
      <c r="D27" s="59" t="str">
        <f>IF(D26&lt;&gt;"",IF(OR(D26=Reference!$T$6,D26=Reference!$T$5),Reference!$W$3,D19),"")</f>
        <v>Pooled</v>
      </c>
      <c r="E27" s="59" t="str">
        <f>IF(E26&lt;&gt;"",IF(OR(E26=Reference!$T$6,E26=Reference!$T$5),Reference!$W$3,E19),"")</f>
        <v/>
      </c>
      <c r="F27" s="59" t="str">
        <f>IF(F26&lt;&gt;"",IF(OR(F26=Reference!$T$6,F26=Reference!$T$5),Reference!$W$3,F19),"")</f>
        <v/>
      </c>
      <c r="G27" s="59" t="str">
        <f>IF(G26&lt;&gt;"",IF(OR(G26=Reference!$T$6,G26=Reference!$T$5),Reference!$W$3,G19),"")</f>
        <v/>
      </c>
      <c r="H27" s="59" t="str">
        <f>IF(H26&lt;&gt;"",IF(OR(H26=Reference!$T$6,H26=Reference!$T$5),Reference!$W$3,H19),"")</f>
        <v/>
      </c>
      <c r="I27" s="30"/>
      <c r="J27" s="122"/>
      <c r="K27" s="147" t="s">
        <v>325</v>
      </c>
    </row>
    <row r="28" spans="2:12" ht="18.600000000000001" customHeight="1" x14ac:dyDescent="0.3">
      <c r="B28" s="30"/>
      <c r="C28" s="50" t="s">
        <v>124</v>
      </c>
      <c r="D28" s="57" t="str">
        <f>IF(D26&lt;&gt;"",IF(D27=Reference!$W$4,Reference!$I$4,VLOOKUP(D26,'Default Values (MSFT Guidance)'!$B$24:$C$27,2,FALSE)),"")</f>
        <v>Multi-session</v>
      </c>
      <c r="E28" s="57" t="str">
        <f>IF(E26&lt;&gt;"",IF(E27=Reference!$W$4,Reference!$I$4,VLOOKUP(E26,'Default Values (MSFT Guidance)'!$B$24:$C$27,2,FALSE)),"")</f>
        <v/>
      </c>
      <c r="F28" s="57" t="str">
        <f>IF(F26&lt;&gt;"",IF(F27=Reference!$W$4,Reference!$I$4,VLOOKUP(F26,'Default Values (MSFT Guidance)'!$B$24:$C$27,2,FALSE)),"")</f>
        <v/>
      </c>
      <c r="G28" s="57" t="str">
        <f>IF(G26&lt;&gt;"",IF(G27=Reference!$W$4,Reference!$I$4,VLOOKUP(G26,'Default Values (MSFT Guidance)'!$B$24:$C$27,2,FALSE)),"")</f>
        <v/>
      </c>
      <c r="H28" s="57" t="str">
        <f>IF(H26&lt;&gt;"",IF(H27=Reference!$W$4,Reference!$I$4,VLOOKUP(H26,'Default Values (MSFT Guidance)'!$B$24:$C$27,2,FALSE)),"")</f>
        <v/>
      </c>
      <c r="I28" s="89"/>
      <c r="J28" s="121"/>
      <c r="K28" s="147" t="s">
        <v>327</v>
      </c>
    </row>
    <row r="29" spans="2:12" ht="20.25" x14ac:dyDescent="0.3">
      <c r="B29" s="30"/>
      <c r="C29" s="50" t="str">
        <f>'Default Values (MSFT Guidance)'!B10</f>
        <v># users/vCPU (only valid for multi-session) (Default)</v>
      </c>
      <c r="D29" s="60">
        <f>IF(D$17&lt;&gt;"",INDEX('Default Values (MSFT Guidance)'!$C$8:$F$21,MATCH($C29,'Default Values (MSFT Guidance)'!$B$8:$B$21,0),MATCH(D$16,'Default Values (MSFT Guidance)'!$C$6:$F$6,0)),"")</f>
        <v>4</v>
      </c>
      <c r="E29" s="60">
        <f>IF(E$17&lt;&gt;"",INDEX('Default Values (MSFT Guidance)'!$C$8:$F$21,MATCH($C29,'Default Values (MSFT Guidance)'!$B$8:$B$21,0),MATCH(E$16,'Default Values (MSFT Guidance)'!$C$6:$F$6,0)),"")</f>
        <v>4</v>
      </c>
      <c r="F29" s="54" t="str">
        <f>IF(F$17&lt;&gt;"",INDEX('Default Values (MSFT Guidance)'!$C$8:$F$21,MATCH($C29,'Default Values (MSFT Guidance)'!$B$8:$B$21,0),MATCH(F$16,'Default Values (MSFT Guidance)'!$C$6:$F$6,0)),"")</f>
        <v/>
      </c>
      <c r="G29" s="54" t="str">
        <f>IF(G$17&lt;&gt;"",INDEX('Default Values (MSFT Guidance)'!$C$8:$F$21,MATCH($C29,'Default Values (MSFT Guidance)'!$B$8:$B$21,0),MATCH(G$16,'Default Values (MSFT Guidance)'!$C$6:$F$6,0)),"")</f>
        <v/>
      </c>
      <c r="H29" s="54" t="str">
        <f>IF(H$17&lt;&gt;"",INDEX('Default Values (MSFT Guidance)'!$C$8:$F$21,MATCH($C29,'Default Values (MSFT Guidance)'!$B$8:$B$21,0),MATCH(H$16,'Default Values (MSFT Guidance)'!$C$6:$F$6,0)),"")</f>
        <v/>
      </c>
      <c r="I29" s="30"/>
      <c r="J29" s="122"/>
      <c r="K29" s="147" t="s">
        <v>328</v>
      </c>
    </row>
    <row r="30" spans="2:12" ht="20.25" outlineLevel="1" x14ac:dyDescent="0.3">
      <c r="B30" s="30"/>
      <c r="C30" s="50" t="s">
        <v>443</v>
      </c>
      <c r="D30" s="317"/>
      <c r="E30" s="317"/>
      <c r="F30" s="318"/>
      <c r="G30" s="318"/>
      <c r="H30" s="318"/>
      <c r="I30" s="30"/>
      <c r="J30" s="122"/>
      <c r="K30" s="147" t="s">
        <v>511</v>
      </c>
    </row>
    <row r="31" spans="2:12" ht="20.25" outlineLevel="1" x14ac:dyDescent="0.3">
      <c r="B31" s="30"/>
      <c r="C31" s="50" t="s">
        <v>444</v>
      </c>
      <c r="D31" s="59">
        <f>IF(D29&lt;&gt;"",IF(D30&lt;&gt;"",D30,D29),"")</f>
        <v>4</v>
      </c>
      <c r="E31" s="59">
        <f>IF(E29&lt;&gt;"",IF(E30&lt;&gt;"",E30,E29),"")</f>
        <v>4</v>
      </c>
      <c r="F31" s="53" t="str">
        <f t="shared" ref="F31:H31" si="0">IF(F29&lt;&gt;"",IF(F30&lt;&gt;"",F30,F29),"")</f>
        <v/>
      </c>
      <c r="G31" s="53" t="str">
        <f t="shared" si="0"/>
        <v/>
      </c>
      <c r="H31" s="53" t="str">
        <f t="shared" si="0"/>
        <v/>
      </c>
      <c r="I31" s="30"/>
      <c r="J31" s="122"/>
      <c r="K31" s="147" t="s">
        <v>508</v>
      </c>
    </row>
    <row r="32" spans="2:12" ht="20.25" x14ac:dyDescent="0.3">
      <c r="B32" s="30"/>
      <c r="C32" s="64" t="s">
        <v>292</v>
      </c>
      <c r="D32" s="58" t="str">
        <f>IF(D$17&lt;&gt;"",INDEX('Default Values (MSFT Guidance)'!$C$8:$F$21,MATCH($C32&amp;" "&amp;D28,'Default Values (MSFT Guidance)'!$B$8:$B$21,0),MATCH(D$16,'Default Values (MSFT Guidance)'!$C$6:$F$6,0)),"")</f>
        <v>D8s v3</v>
      </c>
      <c r="E32" s="58" t="e">
        <f>IF(E$17&lt;&gt;"",INDEX('Default Values (MSFT Guidance)'!$C$8:$F$21,MATCH($C32&amp;" "&amp;E28,'Default Values (MSFT Guidance)'!$B$8:$B$21,0),MATCH(E$16,'Default Values (MSFT Guidance)'!$C$6:$F$6,0)),"")</f>
        <v>#N/A</v>
      </c>
      <c r="F32" s="58" t="str">
        <f>IF(F$17&lt;&gt;"",INDEX('Default Values (MSFT Guidance)'!$C$8:$F$21,MATCH($C32&amp;" "&amp;F28,'Default Values (MSFT Guidance)'!$B$8:$B$21,0),MATCH(F$16,'Default Values (MSFT Guidance)'!$C$6:$F$6,0)),"")</f>
        <v/>
      </c>
      <c r="G32" s="58" t="str">
        <f>IF(G$17&lt;&gt;"",INDEX('Default Values (MSFT Guidance)'!$C$8:$F$21,MATCH($C32&amp;" "&amp;G28,'Default Values (MSFT Guidance)'!$B$8:$B$21,0),MATCH(G$16,'Default Values (MSFT Guidance)'!$C$6:$F$6,0)),"")</f>
        <v/>
      </c>
      <c r="H32" s="58" t="str">
        <f>IF(H$17&lt;&gt;"",INDEX('Default Values (MSFT Guidance)'!$C$8:$F$21,MATCH($C32&amp;" "&amp;H28,'Default Values (MSFT Guidance)'!$B$8:$B$21,0),MATCH(H$16,'Default Values (MSFT Guidance)'!$C$6:$F$6,0)),"")</f>
        <v/>
      </c>
      <c r="I32" s="30"/>
      <c r="J32" s="261"/>
      <c r="K32" s="147" t="s">
        <v>509</v>
      </c>
    </row>
    <row r="33" spans="2:11" ht="20.25" outlineLevel="1" x14ac:dyDescent="0.3">
      <c r="B33" s="30"/>
      <c r="C33" s="64" t="s">
        <v>293</v>
      </c>
      <c r="D33" s="319"/>
      <c r="E33" s="319"/>
      <c r="F33" s="320"/>
      <c r="G33" s="320"/>
      <c r="H33" s="320"/>
      <c r="I33" s="30"/>
      <c r="J33" s="27"/>
      <c r="K33" s="147" t="s">
        <v>510</v>
      </c>
    </row>
    <row r="34" spans="2:11" ht="20.25" outlineLevel="1" x14ac:dyDescent="0.3">
      <c r="B34" s="30"/>
      <c r="C34" s="64" t="s">
        <v>294</v>
      </c>
      <c r="D34" s="59" t="str">
        <f>IF(D32&lt;&gt;"",IF(D33&lt;&gt;"",D33,D32),"")</f>
        <v>D8s v3</v>
      </c>
      <c r="E34" s="59" t="e">
        <f>IF(E32&lt;&gt;"",IF(E33&lt;&gt;"",E33,E32),"")</f>
        <v>#N/A</v>
      </c>
      <c r="F34" s="53" t="str">
        <f t="shared" ref="F34:H34" si="1">IF(F32&lt;&gt;"",IF(F33&lt;&gt;"",F33,F32),"")</f>
        <v/>
      </c>
      <c r="G34" s="53" t="str">
        <f t="shared" si="1"/>
        <v/>
      </c>
      <c r="H34" s="53" t="str">
        <f t="shared" si="1"/>
        <v/>
      </c>
      <c r="I34" s="30"/>
      <c r="J34" s="27"/>
      <c r="K34" s="147" t="s">
        <v>412</v>
      </c>
    </row>
    <row r="35" spans="2:11" ht="20.25" hidden="1" x14ac:dyDescent="0.3">
      <c r="B35" s="30"/>
      <c r="C35" s="64" t="s">
        <v>572</v>
      </c>
      <c r="D35" s="57" t="str">
        <f>IF(D$17&lt;&gt;"","linux-"&amp;LOWER(SUBSTITUTE(D34," ",""))&amp;"-standard","")</f>
        <v>linux-d8sv3-standard</v>
      </c>
      <c r="E35" s="57" t="e">
        <f>IF(E$17&lt;&gt;"","linux-"&amp;LOWER(SUBSTITUTE(E34," ",""))&amp;"-standard","")</f>
        <v>#N/A</v>
      </c>
      <c r="F35" s="52" t="str">
        <f>IF(F$17&lt;&gt;"","linux-"&amp;LOWER(SUBSTITUTE(F34," ",""))&amp;"-standard","")</f>
        <v/>
      </c>
      <c r="G35" s="52" t="str">
        <f>IF(G$17&lt;&gt;"","linux-"&amp;LOWER(SUBSTITUTE(G34," ",""))&amp;"-standard","")</f>
        <v/>
      </c>
      <c r="H35" s="52" t="str">
        <f>IF(H$17&lt;&gt;"","linux-"&amp;LOWER(SUBSTITUTE(H34," ",""))&amp;"-standard","")</f>
        <v/>
      </c>
      <c r="I35" s="30"/>
      <c r="J35" s="27"/>
    </row>
    <row r="36" spans="2:11" ht="20.25" x14ac:dyDescent="0.3">
      <c r="B36" s="30"/>
      <c r="C36" s="64" t="s">
        <v>445</v>
      </c>
      <c r="D36" s="61" t="e">
        <f ca="1">IF(D$17&lt;&gt;"",getVMData(D35,D$20,Currency_QS,"cores")*1,"")</f>
        <v>#NAME?</v>
      </c>
      <c r="E36" s="61" t="e">
        <f ca="1">IF(E$17&lt;&gt;"",getVMData(E35,E$20,Currency_QS,"cores")*1,"")</f>
        <v>#NAME?</v>
      </c>
      <c r="F36" s="55" t="str">
        <f>IF(F$17&lt;&gt;"",getVMData(F35,F$20,Currency_QS,"cores")*1,"")</f>
        <v/>
      </c>
      <c r="G36" s="55" t="str">
        <f>IF(G$17&lt;&gt;"",getVMData(G35,G$20,Currency_QS,"cores")*1,"")</f>
        <v/>
      </c>
      <c r="H36" s="55" t="str">
        <f>IF(H$17&lt;&gt;"",getVMData(H35,H$20,Currency_QS,"cores")*1,"")</f>
        <v/>
      </c>
      <c r="I36" s="30"/>
      <c r="J36" s="294"/>
    </row>
    <row r="37" spans="2:11" ht="20.25" x14ac:dyDescent="0.3">
      <c r="B37" s="30"/>
      <c r="C37" s="64" t="s">
        <v>112</v>
      </c>
      <c r="D37" s="61" t="e">
        <f ca="1">IF(D$17&lt;&gt;"",getVMData(D35,D$20,Currency_QS,"ram")*1,"")</f>
        <v>#NAME?</v>
      </c>
      <c r="E37" s="61" t="e">
        <f ca="1">IF(E$17&lt;&gt;"",getVMData(E35,E$20,Currency_QS,"ram")*1,"")</f>
        <v>#NAME?</v>
      </c>
      <c r="F37" s="55" t="str">
        <f>IF(F$17&lt;&gt;"",getVMData(F35,F$20,Currency_QS,"ram")*1,"")</f>
        <v/>
      </c>
      <c r="G37" s="55" t="str">
        <f>IF(G$17&lt;&gt;"",getVMData(G35,G$20,Currency_QS,"ram")*1,"")</f>
        <v/>
      </c>
      <c r="H37" s="55" t="str">
        <f>IF(H$17&lt;&gt;"",getVMData(H35,H$20,Currency_QS,"ram")*1,"")</f>
        <v/>
      </c>
      <c r="I37" s="30"/>
      <c r="J37" s="27"/>
    </row>
    <row r="38" spans="2:11" ht="20.25" collapsed="1" x14ac:dyDescent="0.3">
      <c r="B38" s="30"/>
      <c r="C38" s="50" t="s">
        <v>295</v>
      </c>
      <c r="D38" s="91" t="str">
        <f>IF(D17&lt;&gt;"",VLOOKUP(3,Reference!$K$3:$L$5,2,FALSE),"")</f>
        <v>3-year reserved</v>
      </c>
      <c r="E38" s="91" t="str">
        <f>IF(E17&lt;&gt;"",VLOOKUP(3,Reference!$K$3:$L$5,2,FALSE),"")</f>
        <v>3-year reserved</v>
      </c>
      <c r="F38" s="91" t="str">
        <f>IF(F17&lt;&gt;"",VLOOKUP(3,Reference!$K$3:$L$5,2,FALSE),"")</f>
        <v/>
      </c>
      <c r="G38" s="91" t="str">
        <f>IF(G17&lt;&gt;"",VLOOKUP(3,Reference!$K$3:$L$5,2,FALSE),"")</f>
        <v/>
      </c>
      <c r="H38" s="91" t="str">
        <f>IF(H17&lt;&gt;"",VLOOKUP(3,Reference!$K$3:$L$5,2,FALSE),"")</f>
        <v/>
      </c>
      <c r="I38" s="30"/>
      <c r="J38" s="27"/>
    </row>
    <row r="39" spans="2:11" ht="20.25" outlineLevel="1" x14ac:dyDescent="0.3">
      <c r="B39" s="30"/>
      <c r="C39" s="50" t="s">
        <v>296</v>
      </c>
      <c r="D39" s="321"/>
      <c r="E39" s="321"/>
      <c r="F39" s="321"/>
      <c r="G39" s="321"/>
      <c r="H39" s="321"/>
      <c r="I39" s="30"/>
      <c r="J39" s="27"/>
    </row>
    <row r="40" spans="2:11" ht="20.25" outlineLevel="1" x14ac:dyDescent="0.3">
      <c r="B40" s="30"/>
      <c r="C40" s="50" t="s">
        <v>297</v>
      </c>
      <c r="D40" s="138" t="str">
        <f>IF(D38&lt;&gt;"",IF(D39&lt;&gt;"",D39,D38),"")</f>
        <v>3-year reserved</v>
      </c>
      <c r="E40" s="138" t="str">
        <f t="shared" ref="E40:H40" si="2">IF(E38&lt;&gt;"",IF(E39&lt;&gt;"",E39,E38),"")</f>
        <v>3-year reserved</v>
      </c>
      <c r="F40" s="138" t="str">
        <f t="shared" si="2"/>
        <v/>
      </c>
      <c r="G40" s="138" t="str">
        <f t="shared" si="2"/>
        <v/>
      </c>
      <c r="H40" s="138" t="str">
        <f t="shared" si="2"/>
        <v/>
      </c>
      <c r="I40" s="30"/>
      <c r="J40" s="27"/>
    </row>
    <row r="41" spans="2:11" ht="20.25" outlineLevel="1" x14ac:dyDescent="0.3">
      <c r="B41" s="30"/>
      <c r="C41" s="50" t="s">
        <v>487</v>
      </c>
      <c r="D41" s="356"/>
      <c r="E41" s="356"/>
      <c r="F41" s="356"/>
      <c r="G41" s="356"/>
      <c r="H41" s="356"/>
      <c r="I41" s="30"/>
      <c r="J41" s="27"/>
    </row>
    <row r="42" spans="2:11" ht="20.25" x14ac:dyDescent="0.3">
      <c r="B42" s="30"/>
      <c r="C42" s="64" t="s">
        <v>335</v>
      </c>
      <c r="D42" s="92" t="e">
        <f ca="1">IF(D$17&lt;&gt;"",getVMPriceHour(D35,VLOOKUP(D40,Reference!$L$3:$M$5,2,FALSE),D20,Currency_QS),"")</f>
        <v>#NAME?</v>
      </c>
      <c r="E42" s="92" t="e">
        <f ca="1">IF(E$17&lt;&gt;"",getVMPriceHour(E35,VLOOKUP(E40,Reference!$L$3:$M$5,2,FALSE),E20,Currency_QS),"")</f>
        <v>#NAME?</v>
      </c>
      <c r="F42" s="92" t="str">
        <f>IF(F$17&lt;&gt;"",getVMPriceHour(F35,VLOOKUP(F40,Reference!$L$3:$M$5,2,FALSE),F20,Currency_QS),"")</f>
        <v/>
      </c>
      <c r="G42" s="92" t="str">
        <f>IF(G$17&lt;&gt;"",getVMPriceHour(G35,VLOOKUP(G40,Reference!$L$3:$M$5,2,FALSE),G20,Currency_QS),"")</f>
        <v/>
      </c>
      <c r="H42" s="92" t="str">
        <f>IF(H$17&lt;&gt;"",getVMPriceHour(H35,VLOOKUP(H40,Reference!$L$3:$M$5,2,FALSE),H20,Currency_QS),"")</f>
        <v/>
      </c>
      <c r="I42" s="30"/>
      <c r="J42" s="261" t="s">
        <v>486</v>
      </c>
    </row>
    <row r="43" spans="2:11" ht="20.25" x14ac:dyDescent="0.3">
      <c r="B43" s="30"/>
      <c r="C43" s="50" t="s">
        <v>125</v>
      </c>
      <c r="D43" s="93" t="e">
        <f ca="1">IF(D$17&lt;&gt;"",IF(D28=Reference!$I$3,D31*D36,1),"")</f>
        <v>#NAME?</v>
      </c>
      <c r="E43" s="93">
        <f>IF(E$17&lt;&gt;"",IF(E28=Reference!$I$3,E31*E36,1),"")</f>
        <v>1</v>
      </c>
      <c r="F43" s="93" t="str">
        <f>IF(F$17&lt;&gt;"",IF(F28=Reference!$I$3,F31*F36,1),"")</f>
        <v/>
      </c>
      <c r="G43" s="93" t="str">
        <f>IF(G$17&lt;&gt;"",IF(G28=Reference!$I$3,G31*G36,1),"")</f>
        <v/>
      </c>
      <c r="H43" s="93" t="str">
        <f>IF(H$17&lt;&gt;"",IF(H28=Reference!$I$3,H31*H36,1),"")</f>
        <v/>
      </c>
      <c r="I43" s="30"/>
      <c r="J43" s="122"/>
    </row>
    <row r="44" spans="2:11" ht="20.25" x14ac:dyDescent="0.3">
      <c r="B44" s="30"/>
      <c r="C44" s="50" t="s">
        <v>488</v>
      </c>
      <c r="D44" s="93">
        <f>IF(D17&lt;&gt;"",IF(D40=Reference!$L$3,D41,$L$24),"")</f>
        <v>730</v>
      </c>
      <c r="E44" s="93">
        <f>IF(E17&lt;&gt;"",IF(E40=Reference!$L$3,E41,$L$24),"")</f>
        <v>730</v>
      </c>
      <c r="F44" s="93" t="str">
        <f>IF(F17&lt;&gt;"",IF(F40=Reference!$L$3,F41,$L$24),"")</f>
        <v/>
      </c>
      <c r="G44" s="93" t="str">
        <f>IF(G17&lt;&gt;"",IF(G40=Reference!$L$3,G41,$L$24),"")</f>
        <v/>
      </c>
      <c r="H44" s="93" t="str">
        <f>IF(H17&lt;&gt;"",IF(H40=Reference!$L$3,H41,$L$24),"")</f>
        <v/>
      </c>
      <c r="I44" s="30"/>
      <c r="J44" s="122"/>
    </row>
    <row r="45" spans="2:11" ht="20.25" x14ac:dyDescent="0.3">
      <c r="B45" s="30"/>
      <c r="C45" s="50" t="s">
        <v>120</v>
      </c>
      <c r="D45" s="93" t="e">
        <f ca="1">IF(D43&lt;&gt;"",ROUNDUP(D17*IF(D27=Reference!$W$4,1,D18)/D43+$L$26,0),"")</f>
        <v>#NAME?</v>
      </c>
      <c r="E45" s="93">
        <f>IF(E43&lt;&gt;"",ROUNDUP(E17*IF(E27=Reference!$W$4,1,E18)/E43+$L$26,0),"")</f>
        <v>21</v>
      </c>
      <c r="F45" s="93" t="str">
        <f>IF(F43&lt;&gt;"",ROUNDUP(F17*IF(F27=Reference!$W$4,1,F18)/F43+$L$26,0),"")</f>
        <v/>
      </c>
      <c r="G45" s="93" t="str">
        <f>IF(G43&lt;&gt;"",ROUNDUP(G17*IF(G27=Reference!$W$4,1,G18)/G43+$L$26,0),"")</f>
        <v/>
      </c>
      <c r="H45" s="93" t="str">
        <f>IF(H43&lt;&gt;"",ROUNDUP(H17*IF(H27=Reference!$W$4,1,H18)/H43+$L$26,0),"")</f>
        <v/>
      </c>
      <c r="I45" s="30"/>
      <c r="J45" s="122"/>
    </row>
    <row r="46" spans="2:11" ht="20.25" x14ac:dyDescent="0.3">
      <c r="B46" s="30"/>
      <c r="C46" s="51" t="s">
        <v>336</v>
      </c>
      <c r="D46" s="94" t="e">
        <f ca="1">IF(D42&lt;&gt;"",D42*D44*D45,"")</f>
        <v>#NAME?</v>
      </c>
      <c r="E46" s="94" t="e">
        <f ca="1">IF(E42&lt;&gt;"",E42*E44*E45,"")</f>
        <v>#NAME?</v>
      </c>
      <c r="F46" s="56" t="str">
        <f>IF(F42&lt;&gt;"",F42*F44*F45,"")</f>
        <v/>
      </c>
      <c r="G46" s="56" t="str">
        <f>IF(G42&lt;&gt;"",G42*G44*G45,"")</f>
        <v/>
      </c>
      <c r="H46" s="56" t="str">
        <f>IF(H42&lt;&gt;"",H42*H44*H45,"")</f>
        <v/>
      </c>
      <c r="I46" s="30"/>
      <c r="J46" s="122"/>
    </row>
    <row r="47" spans="2:11" ht="20.25" x14ac:dyDescent="0.3">
      <c r="B47" s="30"/>
      <c r="C47" s="30"/>
      <c r="D47" s="30"/>
      <c r="E47" s="30"/>
      <c r="F47" s="30"/>
      <c r="G47" s="30"/>
      <c r="H47" s="30"/>
      <c r="I47" s="30"/>
      <c r="J47" s="122"/>
    </row>
    <row r="48" spans="2:11" ht="20.25" x14ac:dyDescent="0.3">
      <c r="B48" s="30"/>
      <c r="C48" s="62" t="s">
        <v>559</v>
      </c>
      <c r="D48" s="90" t="s">
        <v>541</v>
      </c>
      <c r="E48" s="41"/>
      <c r="F48" s="41"/>
      <c r="G48" s="41"/>
      <c r="H48" s="41"/>
      <c r="I48" s="30"/>
      <c r="J48" s="122"/>
    </row>
    <row r="49" spans="2:10" ht="20.25" outlineLevel="1" x14ac:dyDescent="0.3">
      <c r="B49" s="30"/>
      <c r="C49" s="63" t="s">
        <v>298</v>
      </c>
      <c r="D49" s="54">
        <f>IF(D$17&lt;&gt;"",INDEX('Default Values (MSFT Guidance)'!$C$8:$F$21,MATCH($C49,'Default Values (MSFT Guidance)'!$B$8:$B$21,0),MATCH(D$16,'Default Values (MSFT Guidance)'!$C$6:$F$6,0)),"")</f>
        <v>127</v>
      </c>
      <c r="E49" s="54">
        <f>IF(E$17&lt;&gt;"",INDEX('Default Values (MSFT Guidance)'!$C$8:$F$21,MATCH($C49,'Default Values (MSFT Guidance)'!$B$8:$B$21,0),MATCH(E$16,'Default Values (MSFT Guidance)'!$C$6:$F$6,0)),"")</f>
        <v>127</v>
      </c>
      <c r="F49" s="54" t="str">
        <f>IF(F$17&lt;&gt;"",INDEX('Default Values (MSFT Guidance)'!$C$8:$F$21,MATCH($C49,'Default Values (MSFT Guidance)'!$B$8:$B$21,0),MATCH(F$16,'Default Values (MSFT Guidance)'!$C$6:$F$6,0)),"")</f>
        <v/>
      </c>
      <c r="G49" s="54" t="str">
        <f>IF(G$17&lt;&gt;"",INDEX('Default Values (MSFT Guidance)'!$C$8:$F$21,MATCH($C49,'Default Values (MSFT Guidance)'!$B$8:$B$21,0),MATCH(G$16,'Default Values (MSFT Guidance)'!$C$6:$F$6,0)),"")</f>
        <v/>
      </c>
      <c r="H49" s="54" t="str">
        <f>IF(H$17&lt;&gt;"",INDEX('Default Values (MSFT Guidance)'!$C$8:$F$21,MATCH($C49,'Default Values (MSFT Guidance)'!$B$8:$B$21,0),MATCH(H$16,'Default Values (MSFT Guidance)'!$C$6:$F$6,0)),"")</f>
        <v/>
      </c>
      <c r="I49" s="30"/>
      <c r="J49" s="122"/>
    </row>
    <row r="50" spans="2:10" ht="20.25" outlineLevel="2" x14ac:dyDescent="0.3">
      <c r="B50" s="30"/>
      <c r="C50" s="63" t="s">
        <v>554</v>
      </c>
      <c r="D50" s="323"/>
      <c r="E50" s="323"/>
      <c r="F50" s="323"/>
      <c r="G50" s="323"/>
      <c r="H50" s="323"/>
      <c r="I50" s="30"/>
      <c r="J50" s="122"/>
    </row>
    <row r="51" spans="2:10" ht="20.25" outlineLevel="2" x14ac:dyDescent="0.3">
      <c r="B51" s="30"/>
      <c r="C51" s="63" t="s">
        <v>555</v>
      </c>
      <c r="D51" s="138">
        <f>IF(D49&lt;&gt;"",IF(D50&lt;&gt;"",D50,D49),"")</f>
        <v>127</v>
      </c>
      <c r="E51" s="138">
        <f t="shared" ref="E51:H51" si="3">IF(E49&lt;&gt;"",IF(E50&lt;&gt;"",E50,E49),"")</f>
        <v>127</v>
      </c>
      <c r="F51" s="138" t="str">
        <f t="shared" si="3"/>
        <v/>
      </c>
      <c r="G51" s="138" t="str">
        <f t="shared" si="3"/>
        <v/>
      </c>
      <c r="H51" s="138" t="str">
        <f t="shared" si="3"/>
        <v/>
      </c>
      <c r="I51" s="30"/>
      <c r="J51" s="122"/>
    </row>
    <row r="52" spans="2:10" ht="20.25" outlineLevel="1" x14ac:dyDescent="0.3">
      <c r="B52" s="30"/>
      <c r="C52" s="63" t="s">
        <v>299</v>
      </c>
      <c r="D52" s="54">
        <f>IF(D$17&lt;&gt;"",INDEX('Default Values (MSFT Guidance)'!$C$8:$F$21,MATCH($C52,'Default Values (MSFT Guidance)'!$B$8:$B$21,0),MATCH(D$16,'Default Values (MSFT Guidance)'!$C$6:$F$6,0)),"")</f>
        <v>1</v>
      </c>
      <c r="E52" s="54">
        <f>IF(E$17&lt;&gt;"",INDEX('Default Values (MSFT Guidance)'!$C$8:$F$21,MATCH($C52,'Default Values (MSFT Guidance)'!$B$8:$B$21,0),MATCH(E$16,'Default Values (MSFT Guidance)'!$C$6:$F$6,0)),"")</f>
        <v>1</v>
      </c>
      <c r="F52" s="54" t="str">
        <f>IF(F$17&lt;&gt;"",INDEX('Default Values (MSFT Guidance)'!$C$8:$F$21,MATCH($C52,'Default Values (MSFT Guidance)'!$B$8:$B$21,0),MATCH(F$16,'Default Values (MSFT Guidance)'!$C$6:$F$6,0)),"")</f>
        <v/>
      </c>
      <c r="G52" s="54" t="str">
        <f>IF(G$17&lt;&gt;"",INDEX('Default Values (MSFT Guidance)'!$C$8:$F$21,MATCH($C52,'Default Values (MSFT Guidance)'!$B$8:$B$21,0),MATCH(G$16,'Default Values (MSFT Guidance)'!$C$6:$F$6,0)),"")</f>
        <v/>
      </c>
      <c r="H52" s="54" t="str">
        <f>IF(H$17&lt;&gt;"",INDEX('Default Values (MSFT Guidance)'!$C$8:$F$21,MATCH($C52,'Default Values (MSFT Guidance)'!$B$8:$B$21,0),MATCH(H$16,'Default Values (MSFT Guidance)'!$C$6:$F$6,0)),"")</f>
        <v/>
      </c>
      <c r="I52" s="30"/>
      <c r="J52" s="122"/>
    </row>
    <row r="53" spans="2:10" ht="20.25" outlineLevel="1" x14ac:dyDescent="0.3">
      <c r="B53" s="30"/>
      <c r="C53" s="63" t="s">
        <v>300</v>
      </c>
      <c r="D53" s="67" t="str">
        <f>IF(D$17&lt;&gt;"",INDEX('Default Values (MSFT Guidance)'!$C$8:$F$21,MATCH($C53,'Default Values (MSFT Guidance)'!$B$8:$B$21,0),MATCH(D$16,'Default Values (MSFT Guidance)'!$C$6:$F$6,0)),"")</f>
        <v>premium</v>
      </c>
      <c r="E53" s="67" t="str">
        <f>IF(E$17&lt;&gt;"",INDEX('Default Values (MSFT Guidance)'!$C$8:$F$21,MATCH($C53,'Default Values (MSFT Guidance)'!$B$8:$B$21,0),MATCH(E$16,'Default Values (MSFT Guidance)'!$C$6:$F$6,0)),"")</f>
        <v>premium</v>
      </c>
      <c r="F53" s="67" t="str">
        <f>IF(F$17&lt;&gt;"",INDEX('Default Values (MSFT Guidance)'!$C$8:$F$21,MATCH($C53,'Default Values (MSFT Guidance)'!$B$8:$B$21,0),MATCH(F$16,'Default Values (MSFT Guidance)'!$C$6:$F$6,0)),"")</f>
        <v/>
      </c>
      <c r="G53" s="67" t="str">
        <f>IF(G$17&lt;&gt;"",INDEX('Default Values (MSFT Guidance)'!$C$8:$F$21,MATCH($C53,'Default Values (MSFT Guidance)'!$B$8:$B$21,0),MATCH(G$16,'Default Values (MSFT Guidance)'!$C$6:$F$6,0)),"")</f>
        <v/>
      </c>
      <c r="H53" s="67" t="str">
        <f>IF(H$17&lt;&gt;"",INDEX('Default Values (MSFT Guidance)'!$C$8:$F$21,MATCH($C53,'Default Values (MSFT Guidance)'!$B$8:$B$21,0),MATCH(H$16,'Default Values (MSFT Guidance)'!$C$6:$F$6,0)),"")</f>
        <v/>
      </c>
      <c r="I53" s="30"/>
      <c r="J53" s="122"/>
    </row>
    <row r="54" spans="2:10" ht="20.25" outlineLevel="2" x14ac:dyDescent="0.3">
      <c r="B54" s="30"/>
      <c r="C54" s="63" t="s">
        <v>301</v>
      </c>
      <c r="D54" s="321"/>
      <c r="E54" s="321"/>
      <c r="F54" s="321"/>
      <c r="G54" s="321"/>
      <c r="H54" s="321"/>
      <c r="I54" s="30"/>
      <c r="J54" s="122"/>
    </row>
    <row r="55" spans="2:10" ht="20.25" outlineLevel="2" x14ac:dyDescent="0.3">
      <c r="B55" s="30"/>
      <c r="C55" s="63" t="s">
        <v>302</v>
      </c>
      <c r="D55" s="53" t="str">
        <f>IF(D53&lt;&gt;"",IF(D54&lt;&gt;"",D54,D53),"")</f>
        <v>premium</v>
      </c>
      <c r="E55" s="53" t="str">
        <f t="shared" ref="E55:H55" si="4">IF(E53&lt;&gt;"",IF(E54&lt;&gt;"",E54,E53),"")</f>
        <v>premium</v>
      </c>
      <c r="F55" s="53" t="str">
        <f t="shared" si="4"/>
        <v/>
      </c>
      <c r="G55" s="53" t="str">
        <f t="shared" si="4"/>
        <v/>
      </c>
      <c r="H55" s="53" t="str">
        <f t="shared" si="4"/>
        <v/>
      </c>
      <c r="I55" s="30"/>
      <c r="J55" s="122"/>
    </row>
    <row r="56" spans="2:10" ht="20.25" outlineLevel="1" x14ac:dyDescent="0.3">
      <c r="B56" s="30"/>
      <c r="C56" s="50" t="s">
        <v>256</v>
      </c>
      <c r="D56" s="68" t="e">
        <f ca="1">IF(D51&lt;&gt;"",getManagedDisk(D51,D20,Currency_QS,,D55),"")</f>
        <v>#NAME?</v>
      </c>
      <c r="E56" s="68" t="e">
        <f ca="1">IF(E51&lt;&gt;"",getManagedDisk(E51,E20,Currency_QS,,E55),"")</f>
        <v>#NAME?</v>
      </c>
      <c r="F56" s="68" t="str">
        <f>IF(F51&lt;&gt;"",getManagedDisk(F51,F20,Currency_QS,,F55),"")</f>
        <v/>
      </c>
      <c r="G56" s="68" t="str">
        <f>IF(G51&lt;&gt;"",getManagedDisk(G51,G20,Currency_QS,,G55),"")</f>
        <v/>
      </c>
      <c r="H56" s="68" t="str">
        <f>IF(H51&lt;&gt;"",getManagedDisk(H51,H20,Currency_QS,,H55),"")</f>
        <v/>
      </c>
      <c r="I56" s="30"/>
      <c r="J56" s="122"/>
    </row>
    <row r="57" spans="2:10" ht="20.25" outlineLevel="2" x14ac:dyDescent="0.3">
      <c r="B57" s="30"/>
      <c r="C57" s="50" t="s">
        <v>257</v>
      </c>
      <c r="D57" s="69" t="e">
        <f ca="1">IF(D56&lt;&gt;"",getMDiskData(D56,D20,Currency_QS,"size"),"")</f>
        <v>#NAME?</v>
      </c>
      <c r="E57" s="69" t="e">
        <f ca="1">IF(E56&lt;&gt;"",getMDiskData(E56,E20,Currency_QS,"size"),"")</f>
        <v>#NAME?</v>
      </c>
      <c r="F57" s="69" t="str">
        <f>IF(F56&lt;&gt;"",getMDiskData(F56,F20,Currency_QS,"size"),"")</f>
        <v/>
      </c>
      <c r="G57" s="69" t="str">
        <f>IF(G56&lt;&gt;"",getMDiskData(G56,G20,Currency_QS,"size"),"")</f>
        <v/>
      </c>
      <c r="H57" s="69" t="str">
        <f>IF(H56&lt;&gt;"",getMDiskData(H56,H20,Currency_QS,"size"),"")</f>
        <v/>
      </c>
      <c r="I57" s="30"/>
      <c r="J57" s="122"/>
    </row>
    <row r="58" spans="2:10" ht="20.25" outlineLevel="2" x14ac:dyDescent="0.3">
      <c r="B58" s="30"/>
      <c r="C58" s="50" t="s">
        <v>260</v>
      </c>
      <c r="D58" s="69" t="e">
        <f ca="1">IF(D56&lt;&gt;"",getMDiskData(D56,D20,Currency_QS,"iops"),"")</f>
        <v>#NAME?</v>
      </c>
      <c r="E58" s="69" t="e">
        <f ca="1">IF(E56&lt;&gt;"",getMDiskData(E56,E20,Currency_QS,"iops"),"")</f>
        <v>#NAME?</v>
      </c>
      <c r="F58" s="69" t="str">
        <f>IF(F56&lt;&gt;"",getMDiskData(F56,F20,Currency_QS,"iops"),"")</f>
        <v/>
      </c>
      <c r="G58" s="69" t="str">
        <f>IF(G56&lt;&gt;"",getMDiskData(G56,G20,Currency_QS,"iops"),"")</f>
        <v/>
      </c>
      <c r="H58" s="69" t="str">
        <f>IF(H56&lt;&gt;"",getMDiskData(H56,H20,Currency_QS,"iops"),"")</f>
        <v/>
      </c>
      <c r="I58" s="30"/>
      <c r="J58" s="122"/>
    </row>
    <row r="59" spans="2:10" ht="20.25" outlineLevel="2" x14ac:dyDescent="0.3">
      <c r="B59" s="30"/>
      <c r="C59" s="50" t="s">
        <v>266</v>
      </c>
      <c r="D59" s="69" t="e">
        <f ca="1">IF(D56&lt;&gt;"",getMDiskData(D56,D20,Currency_QS,"speed"),"")</f>
        <v>#NAME?</v>
      </c>
      <c r="E59" s="69" t="e">
        <f ca="1">IF(E56&lt;&gt;"",getMDiskData(E56,E20,Currency_QS,"speed"),"")</f>
        <v>#NAME?</v>
      </c>
      <c r="F59" s="69" t="str">
        <f>IF(F56&lt;&gt;"",getMDiskData(F56,F20,Currency_QS,"speed"),"")</f>
        <v/>
      </c>
      <c r="G59" s="69" t="str">
        <f>IF(G56&lt;&gt;"",getMDiskData(G56,G20,Currency_QS,"speed"),"")</f>
        <v/>
      </c>
      <c r="H59" s="69" t="str">
        <f>IF(H56&lt;&gt;"",getMDiskData(H56,H20,Currency_QS,"speed"),"")</f>
        <v/>
      </c>
      <c r="I59" s="30"/>
      <c r="J59" s="122"/>
    </row>
    <row r="60" spans="2:10" ht="20.25" outlineLevel="2" x14ac:dyDescent="0.3">
      <c r="B60" s="30"/>
      <c r="C60" s="50" t="s">
        <v>350</v>
      </c>
      <c r="D60" s="75" t="e">
        <f ca="1">IF(D56&lt;&gt;"",getManagedDiskPriceMonth(D56,D20,Currency_QS),"")</f>
        <v>#NAME?</v>
      </c>
      <c r="E60" s="70" t="e">
        <f ca="1">IF(E56&lt;&gt;"",getManagedDiskPriceMonth(E56,E20,Currency_QS),"")</f>
        <v>#NAME?</v>
      </c>
      <c r="F60" s="70" t="str">
        <f>IF(F56&lt;&gt;"",getManagedDiskPriceMonth(F56,F20,Currency_QS),"")</f>
        <v/>
      </c>
      <c r="G60" s="70" t="str">
        <f>IF(G56&lt;&gt;"",getManagedDiskPriceMonth(G56,G20,Currency_QS),"")</f>
        <v/>
      </c>
      <c r="H60" s="70" t="str">
        <f>IF(H56&lt;&gt;"",getManagedDiskPriceMonth(H56,H20,Currency_QS),"")</f>
        <v/>
      </c>
      <c r="I60" s="30"/>
      <c r="J60" s="122"/>
    </row>
    <row r="61" spans="2:10" ht="20.25" outlineLevel="1" x14ac:dyDescent="0.3">
      <c r="B61" s="30"/>
      <c r="C61" s="50" t="s">
        <v>351</v>
      </c>
      <c r="D61" s="97" t="e">
        <f ca="1">IF(D60&lt;&gt;"",D52*D60,"")</f>
        <v>#NAME?</v>
      </c>
      <c r="E61" s="71" t="e">
        <f ca="1">IF(E60&lt;&gt;"",E52*E60,"")</f>
        <v>#NAME?</v>
      </c>
      <c r="F61" s="71" t="str">
        <f>IF(F60&lt;&gt;"",F52*F60,"")</f>
        <v/>
      </c>
      <c r="G61" s="71" t="str">
        <f>IF(G60&lt;&gt;"",G52*G60,"")</f>
        <v/>
      </c>
      <c r="H61" s="71" t="str">
        <f>IF(H60&lt;&gt;"",H52*H60,"")</f>
        <v/>
      </c>
      <c r="I61" s="30"/>
      <c r="J61" s="122"/>
    </row>
    <row r="62" spans="2:10" ht="20.25" outlineLevel="1" x14ac:dyDescent="0.3">
      <c r="B62" s="30"/>
      <c r="C62" s="50" t="s">
        <v>120</v>
      </c>
      <c r="D62" s="76" t="e">
        <f ca="1">IF(D45&lt;&gt;"",D45,"")</f>
        <v>#NAME?</v>
      </c>
      <c r="E62" s="76">
        <f t="shared" ref="E62:H62" si="5">IF(E45&lt;&gt;"",E45,"")</f>
        <v>21</v>
      </c>
      <c r="F62" s="76" t="str">
        <f t="shared" si="5"/>
        <v/>
      </c>
      <c r="G62" s="76" t="str">
        <f t="shared" si="5"/>
        <v/>
      </c>
      <c r="H62" s="76" t="str">
        <f t="shared" si="5"/>
        <v/>
      </c>
      <c r="I62" s="30"/>
      <c r="J62" s="122"/>
    </row>
    <row r="63" spans="2:10" ht="20.25" outlineLevel="1" x14ac:dyDescent="0.3">
      <c r="B63" s="30"/>
      <c r="C63" s="50" t="s">
        <v>540</v>
      </c>
      <c r="D63" s="97" t="e">
        <f ca="1">IF(D45&lt;&gt;"",D62*D61,"")</f>
        <v>#NAME?</v>
      </c>
      <c r="E63" s="71" t="e">
        <f ca="1">IF(E45&lt;&gt;"",E62*E61,"")</f>
        <v>#NAME?</v>
      </c>
      <c r="F63" s="71" t="str">
        <f>IF(F45&lt;&gt;"",F62*F61,"")</f>
        <v/>
      </c>
      <c r="G63" s="71" t="str">
        <f>IF(G45&lt;&gt;"",G62*G61,"")</f>
        <v/>
      </c>
      <c r="H63" s="71" t="str">
        <f>IF(H45&lt;&gt;"",H62*H61,"")</f>
        <v/>
      </c>
      <c r="I63" s="30"/>
      <c r="J63" s="122"/>
    </row>
    <row r="64" spans="2:10" ht="20.25" x14ac:dyDescent="0.3">
      <c r="B64" s="30"/>
      <c r="C64" s="51" t="s">
        <v>352</v>
      </c>
      <c r="D64" s="98" t="e">
        <f ca="1">IF(D63&lt;&gt;"",SUM(D63:D63),"")</f>
        <v>#NAME?</v>
      </c>
      <c r="E64" s="72" t="e">
        <f ca="1">IF(E63&lt;&gt;"",SUM(E63:E63),"")</f>
        <v>#NAME?</v>
      </c>
      <c r="F64" s="72" t="str">
        <f>IF(F63&lt;&gt;"",SUM(F63:F63),"")</f>
        <v/>
      </c>
      <c r="G64" s="72" t="str">
        <f>IF(G63&lt;&gt;"",SUM(G63:G63),"")</f>
        <v/>
      </c>
      <c r="H64" s="72" t="str">
        <f>IF(H63&lt;&gt;"",SUM(H63:H63),"")</f>
        <v/>
      </c>
      <c r="I64" s="30"/>
      <c r="J64" s="122"/>
    </row>
    <row r="65" spans="2:10" ht="20.25" x14ac:dyDescent="0.35">
      <c r="B65" s="30"/>
      <c r="C65" s="30"/>
      <c r="D65" s="99"/>
      <c r="E65" s="30"/>
      <c r="F65" s="30"/>
      <c r="G65" s="30"/>
      <c r="H65" s="30"/>
      <c r="I65" s="30"/>
      <c r="J65" s="122"/>
    </row>
    <row r="66" spans="2:10" ht="20.25" x14ac:dyDescent="0.3">
      <c r="B66" s="30"/>
      <c r="C66" s="62" t="s">
        <v>560</v>
      </c>
      <c r="D66" s="41"/>
      <c r="E66" s="41"/>
      <c r="F66" s="41"/>
      <c r="G66" s="41"/>
      <c r="H66" s="41"/>
      <c r="I66" s="30"/>
      <c r="J66" s="122"/>
    </row>
    <row r="67" spans="2:10" ht="20.25" outlineLevel="1" x14ac:dyDescent="0.3">
      <c r="B67" s="30"/>
      <c r="C67" s="63" t="s">
        <v>533</v>
      </c>
      <c r="D67" s="323"/>
      <c r="E67" s="323"/>
      <c r="F67" s="323"/>
      <c r="G67" s="323"/>
      <c r="H67" s="323"/>
      <c r="I67" s="30"/>
      <c r="J67" s="122"/>
    </row>
    <row r="68" spans="2:10" ht="20.25" outlineLevel="1" x14ac:dyDescent="0.3">
      <c r="B68" s="30"/>
      <c r="C68" s="63" t="s">
        <v>534</v>
      </c>
      <c r="D68" s="323"/>
      <c r="E68" s="323"/>
      <c r="F68" s="323"/>
      <c r="G68" s="323"/>
      <c r="H68" s="323"/>
      <c r="I68" s="30"/>
      <c r="J68" s="122"/>
    </row>
    <row r="69" spans="2:10" ht="20.25" outlineLevel="2" x14ac:dyDescent="0.3">
      <c r="B69" s="30"/>
      <c r="C69" s="63" t="s">
        <v>535</v>
      </c>
      <c r="D69" s="321"/>
      <c r="E69" s="321"/>
      <c r="F69" s="321"/>
      <c r="G69" s="321"/>
      <c r="H69" s="321"/>
      <c r="I69" s="30"/>
      <c r="J69" s="122"/>
    </row>
    <row r="70" spans="2:10" ht="20.25" outlineLevel="1" x14ac:dyDescent="0.3">
      <c r="B70" s="30"/>
      <c r="C70" s="50" t="s">
        <v>536</v>
      </c>
      <c r="D70" s="68" t="str">
        <f>IF(D69&lt;&gt;"",getManagedDisk(D67,D20,Currency_QS,,D69),"")</f>
        <v/>
      </c>
      <c r="E70" s="68" t="str">
        <f>IF(E69&lt;&gt;"",getManagedDisk(E67,E20,Currency_QS,,E69),"")</f>
        <v/>
      </c>
      <c r="F70" s="68" t="str">
        <f>IF(F69&lt;&gt;"",getManagedDisk(F67,F20,Currency_QS,,F69),"")</f>
        <v/>
      </c>
      <c r="G70" s="68" t="str">
        <f>IF(G69&lt;&gt;"",getManagedDisk(G67,G20,Currency_QS,,G69),"")</f>
        <v/>
      </c>
      <c r="H70" s="68" t="str">
        <f>IF(H69&lt;&gt;"",getManagedDisk(H67,H20,Currency_QS,,H69),"")</f>
        <v/>
      </c>
      <c r="I70" s="30"/>
      <c r="J70" s="122"/>
    </row>
    <row r="71" spans="2:10" ht="20.25" outlineLevel="2" x14ac:dyDescent="0.3">
      <c r="B71" s="30"/>
      <c r="C71" s="50" t="s">
        <v>537</v>
      </c>
      <c r="D71" s="69" t="str">
        <f>IF(D70&lt;&gt;"",getMDiskData(D70,D20,Currency_QS,"size"),"")</f>
        <v/>
      </c>
      <c r="E71" s="69" t="str">
        <f>IF(E70&lt;&gt;"",getMDiskData(E70,E20,Currency_QS,"size"),"")</f>
        <v/>
      </c>
      <c r="F71" s="69" t="str">
        <f>IF(F70&lt;&gt;"",getMDiskData(F70,F20,Currency_QS,"size"),"")</f>
        <v/>
      </c>
      <c r="G71" s="69" t="str">
        <f>IF(G70&lt;&gt;"",getMDiskData(G70,G20,Currency_QS,"size"),"")</f>
        <v/>
      </c>
      <c r="H71" s="69" t="str">
        <f>IF(H70&lt;&gt;"",getMDiskData(H70,H20,Currency_QS,"size"),"")</f>
        <v/>
      </c>
      <c r="I71" s="30"/>
      <c r="J71" s="122"/>
    </row>
    <row r="72" spans="2:10" ht="20.25" outlineLevel="2" x14ac:dyDescent="0.3">
      <c r="B72" s="30"/>
      <c r="C72" s="50" t="s">
        <v>260</v>
      </c>
      <c r="D72" s="69" t="str">
        <f>IF(D70&lt;&gt;"",getMDiskData(D70,D20,Currency_QS,"iops"),"")</f>
        <v/>
      </c>
      <c r="E72" s="69" t="str">
        <f>IF(E70&lt;&gt;"",getMDiskData(E70,E20,Currency_QS,"iops"),"")</f>
        <v/>
      </c>
      <c r="F72" s="69" t="str">
        <f>IF(F70&lt;&gt;"",getMDiskData(F70,F20,Currency_QS,"iops"),"")</f>
        <v/>
      </c>
      <c r="G72" s="69" t="str">
        <f>IF(G70&lt;&gt;"",getMDiskData(G70,G20,Currency_QS,"iops"),"")</f>
        <v/>
      </c>
      <c r="H72" s="69" t="str">
        <f>IF(H70&lt;&gt;"",getMDiskData(H70,H20,Currency_QS,"iops"),"")</f>
        <v/>
      </c>
      <c r="I72" s="30"/>
      <c r="J72" s="122"/>
    </row>
    <row r="73" spans="2:10" ht="20.25" outlineLevel="2" x14ac:dyDescent="0.3">
      <c r="B73" s="30"/>
      <c r="C73" s="50" t="s">
        <v>266</v>
      </c>
      <c r="D73" s="69" t="str">
        <f>IF(D70&lt;&gt;"",getMDiskData(D70,D20,Currency_QS,"speed"),"")</f>
        <v/>
      </c>
      <c r="E73" s="69" t="str">
        <f>IF(E70&lt;&gt;"",getMDiskData(E70,E20,Currency_QS,"speed"),"")</f>
        <v/>
      </c>
      <c r="F73" s="69" t="str">
        <f>IF(F70&lt;&gt;"",getMDiskData(F70,F20,Currency_QS,"speed"),"")</f>
        <v/>
      </c>
      <c r="G73" s="69" t="str">
        <f>IF(G70&lt;&gt;"",getMDiskData(G70,G20,Currency_QS,"speed"),"")</f>
        <v/>
      </c>
      <c r="H73" s="69" t="str">
        <f>IF(H70&lt;&gt;"",getMDiskData(H70,H20,Currency_QS,"speed"),"")</f>
        <v/>
      </c>
      <c r="I73" s="30"/>
      <c r="J73" s="122"/>
    </row>
    <row r="74" spans="2:10" ht="20.25" outlineLevel="2" x14ac:dyDescent="0.3">
      <c r="B74" s="30"/>
      <c r="C74" s="50" t="s">
        <v>538</v>
      </c>
      <c r="D74" s="75" t="str">
        <f>IF(D70&lt;&gt;"",getManagedDiskPriceMonth(D70,D20,Currency_QS),"")</f>
        <v/>
      </c>
      <c r="E74" s="75" t="str">
        <f>IF(E70&lt;&gt;"",getManagedDiskPriceMonth(E70,E20,Currency_QS),"")</f>
        <v/>
      </c>
      <c r="F74" s="75" t="str">
        <f>IF(F70&lt;&gt;"",getManagedDiskPriceMonth(F70,F20,Currency_QS),"")</f>
        <v/>
      </c>
      <c r="G74" s="75" t="str">
        <f>IF(G70&lt;&gt;"",getManagedDiskPriceMonth(G70,G20,Currency_QS),"")</f>
        <v/>
      </c>
      <c r="H74" s="75" t="str">
        <f>IF(H70&lt;&gt;"",getManagedDiskPriceMonth(H70,H20,Currency_QS),"")</f>
        <v/>
      </c>
      <c r="I74" s="30"/>
      <c r="J74" s="122"/>
    </row>
    <row r="75" spans="2:10" ht="20.25" outlineLevel="1" x14ac:dyDescent="0.3">
      <c r="B75" s="30"/>
      <c r="C75" s="50" t="s">
        <v>539</v>
      </c>
      <c r="D75" s="97" t="str">
        <f>IF(D74&lt;&gt;"",D68*D74,"")</f>
        <v/>
      </c>
      <c r="E75" s="97" t="str">
        <f t="shared" ref="E75:H75" si="6">IF(E74&lt;&gt;"",E68*E74,"")</f>
        <v/>
      </c>
      <c r="F75" s="97" t="str">
        <f t="shared" si="6"/>
        <v/>
      </c>
      <c r="G75" s="97" t="str">
        <f t="shared" si="6"/>
        <v/>
      </c>
      <c r="H75" s="97" t="str">
        <f t="shared" si="6"/>
        <v/>
      </c>
      <c r="I75" s="30"/>
      <c r="J75" s="122"/>
    </row>
    <row r="76" spans="2:10" ht="20.25" outlineLevel="1" x14ac:dyDescent="0.3">
      <c r="B76" s="30"/>
      <c r="C76" s="50" t="s">
        <v>120</v>
      </c>
      <c r="D76" s="76" t="e">
        <f ca="1">IF(AND(D69&lt;&gt;"",D45&lt;&gt;""),D45,"")</f>
        <v>#NAME?</v>
      </c>
      <c r="E76" s="76" t="str">
        <f t="shared" ref="E76:H76" si="7">IF(AND(E69&lt;&gt;"",E45&lt;&gt;""),E45,"")</f>
        <v/>
      </c>
      <c r="F76" s="76" t="str">
        <f t="shared" si="7"/>
        <v/>
      </c>
      <c r="G76" s="76" t="str">
        <f t="shared" si="7"/>
        <v/>
      </c>
      <c r="H76" s="76" t="str">
        <f t="shared" si="7"/>
        <v/>
      </c>
      <c r="I76" s="30"/>
      <c r="J76" s="122"/>
    </row>
    <row r="77" spans="2:10" ht="20.25" x14ac:dyDescent="0.3">
      <c r="B77" s="30"/>
      <c r="C77" s="51" t="s">
        <v>542</v>
      </c>
      <c r="D77" s="98" t="str">
        <f>IF(D69&lt;&gt;"",D76*D75,"")</f>
        <v/>
      </c>
      <c r="E77" s="98" t="str">
        <f t="shared" ref="E77:H77" si="8">IF(E69&lt;&gt;"",E76*E75,"")</f>
        <v/>
      </c>
      <c r="F77" s="98" t="str">
        <f t="shared" si="8"/>
        <v/>
      </c>
      <c r="G77" s="98" t="str">
        <f t="shared" si="8"/>
        <v/>
      </c>
      <c r="H77" s="98" t="str">
        <f t="shared" si="8"/>
        <v/>
      </c>
      <c r="I77" s="30"/>
      <c r="J77" s="122"/>
    </row>
    <row r="78" spans="2:10" ht="20.25" x14ac:dyDescent="0.35">
      <c r="B78" s="30"/>
      <c r="C78" s="30"/>
      <c r="D78" s="99"/>
      <c r="E78" s="30"/>
      <c r="F78" s="30"/>
      <c r="G78" s="30"/>
      <c r="H78" s="30"/>
      <c r="I78" s="30"/>
      <c r="J78" s="122"/>
    </row>
    <row r="79" spans="2:10" ht="20.25" x14ac:dyDescent="0.3">
      <c r="B79" s="30"/>
      <c r="C79" s="280" t="s">
        <v>451</v>
      </c>
      <c r="D79" s="281" t="e">
        <f ca="1">IF(D46&lt;&gt;"",SUM(D46,D64,D77),"")</f>
        <v>#NAME?</v>
      </c>
      <c r="E79" s="281" t="e">
        <f ca="1">IF(E46&lt;&gt;"",SUM(E46,E64,E77),"")</f>
        <v>#NAME?</v>
      </c>
      <c r="F79" s="281" t="str">
        <f>IF(F46&lt;&gt;"",SUM(F46,F64,F77),"")</f>
        <v/>
      </c>
      <c r="G79" s="281" t="str">
        <f>IF(G46&lt;&gt;"",SUM(G46,G64,G77),"")</f>
        <v/>
      </c>
      <c r="H79" s="281" t="str">
        <f>IF(H46&lt;&gt;"",SUM(H46,H64,H77),"")</f>
        <v/>
      </c>
      <c r="I79" s="30"/>
      <c r="J79" s="122"/>
    </row>
    <row r="80" spans="2:10" ht="20.25" x14ac:dyDescent="0.3">
      <c r="B80" s="30"/>
      <c r="C80" s="282" t="s">
        <v>460</v>
      </c>
      <c r="D80" s="322"/>
      <c r="E80" s="322"/>
      <c r="F80" s="322"/>
      <c r="G80" s="322"/>
      <c r="H80" s="322"/>
      <c r="I80" s="30"/>
      <c r="J80" s="122"/>
    </row>
    <row r="81" spans="2:10" ht="20.25" x14ac:dyDescent="0.3">
      <c r="B81" s="30"/>
      <c r="C81" s="41"/>
      <c r="D81" s="89"/>
      <c r="E81" s="41"/>
      <c r="F81" s="41"/>
      <c r="G81" s="41"/>
      <c r="H81" s="41"/>
      <c r="I81" s="30"/>
      <c r="J81" s="122"/>
    </row>
    <row r="82" spans="2:10" ht="20.25" x14ac:dyDescent="0.3">
      <c r="B82" s="122"/>
      <c r="C82" s="157"/>
      <c r="D82" s="121"/>
      <c r="E82" s="157"/>
      <c r="F82" s="157"/>
      <c r="G82" s="157"/>
      <c r="H82" s="157"/>
      <c r="I82" s="122"/>
      <c r="J82" s="122"/>
    </row>
    <row r="83" spans="2:10" ht="20.25" x14ac:dyDescent="0.3">
      <c r="B83" s="30"/>
      <c r="C83" s="30" t="s">
        <v>448</v>
      </c>
      <c r="D83" s="89"/>
      <c r="E83" s="41"/>
      <c r="F83" s="41"/>
      <c r="G83" s="41"/>
      <c r="H83" s="41"/>
      <c r="I83" s="30"/>
      <c r="J83" s="122"/>
    </row>
    <row r="84" spans="2:10" ht="20.25" x14ac:dyDescent="0.3">
      <c r="B84" s="30"/>
      <c r="C84" s="271"/>
      <c r="D84" s="89"/>
      <c r="E84" s="41"/>
      <c r="F84" s="41"/>
      <c r="G84" s="41"/>
      <c r="H84" s="41"/>
      <c r="I84" s="30"/>
      <c r="J84" s="122"/>
    </row>
    <row r="85" spans="2:10" ht="20.25" x14ac:dyDescent="0.3">
      <c r="B85" s="30"/>
      <c r="C85" s="62" t="s">
        <v>469</v>
      </c>
      <c r="D85" s="89"/>
      <c r="E85" s="41"/>
      <c r="F85" s="41"/>
      <c r="G85" s="41"/>
      <c r="H85" s="41"/>
      <c r="I85" s="30"/>
      <c r="J85" s="122"/>
    </row>
    <row r="86" spans="2:10" ht="20.25" x14ac:dyDescent="0.3">
      <c r="B86" s="30"/>
      <c r="C86" s="50" t="s">
        <v>303</v>
      </c>
      <c r="D86" s="54">
        <f>IF(D$17&lt;&gt;"",INDEX('Default Values (MSFT Guidance)'!$C$8:$F$21,MATCH($C86,'Default Values (MSFT Guidance)'!$B$8:$B$21,0),MATCH(D$16,'Default Values (MSFT Guidance)'!$C$6:$F$6,0)),"")</f>
        <v>20</v>
      </c>
      <c r="E86" s="54">
        <f>IF(E$17&lt;&gt;"",INDEX('Default Values (MSFT Guidance)'!$C$8:$F$21,MATCH($C86,'Default Values (MSFT Guidance)'!$B$8:$B$21,0),MATCH(E$16,'Default Values (MSFT Guidance)'!$C$6:$F$6,0)),"")</f>
        <v>20</v>
      </c>
      <c r="F86" s="54" t="str">
        <f>IF(F$17&lt;&gt;"",INDEX('Default Values (MSFT Guidance)'!$C$8:$F$21,MATCH($C86,'Default Values (MSFT Guidance)'!$B$8:$B$21,0),MATCH(F$16,'Default Values (MSFT Guidance)'!$C$6:$F$6,0)),"")</f>
        <v/>
      </c>
      <c r="G86" s="54" t="str">
        <f>IF(G$17&lt;&gt;"",INDEX('Default Values (MSFT Guidance)'!$C$8:$F$21,MATCH($C86,'Default Values (MSFT Guidance)'!$B$8:$B$21,0),MATCH(G$16,'Default Values (MSFT Guidance)'!$C$6:$F$6,0)),"")</f>
        <v/>
      </c>
      <c r="H86" s="54" t="str">
        <f>IF(H$17&lt;&gt;"",INDEX('Default Values (MSFT Guidance)'!$C$8:$F$21,MATCH($C86,'Default Values (MSFT Guidance)'!$B$8:$B$21,0),MATCH(H$16,'Default Values (MSFT Guidance)'!$C$6:$F$6,0)),"")</f>
        <v/>
      </c>
      <c r="I86" s="30"/>
      <c r="J86" s="122"/>
    </row>
    <row r="87" spans="2:10" ht="20.25" x14ac:dyDescent="0.3">
      <c r="B87" s="30"/>
      <c r="C87" s="50" t="s">
        <v>304</v>
      </c>
      <c r="D87" s="323"/>
      <c r="E87" s="323"/>
      <c r="F87" s="323"/>
      <c r="G87" s="323"/>
      <c r="H87" s="323"/>
      <c r="I87" s="30"/>
      <c r="J87" s="122"/>
    </row>
    <row r="88" spans="2:10" ht="20.25" x14ac:dyDescent="0.3">
      <c r="B88" s="30"/>
      <c r="C88" s="50" t="s">
        <v>305</v>
      </c>
      <c r="D88" s="53">
        <f>IF(D86&lt;&gt;"",IF(D87&lt;&gt;"",D87,D86),"")</f>
        <v>20</v>
      </c>
      <c r="E88" s="53">
        <f t="shared" ref="E88:H88" si="9">IF(E86&lt;&gt;"",IF(E87&lt;&gt;"",E87,E86),"")</f>
        <v>20</v>
      </c>
      <c r="F88" s="53" t="str">
        <f t="shared" si="9"/>
        <v/>
      </c>
      <c r="G88" s="53" t="str">
        <f t="shared" si="9"/>
        <v/>
      </c>
      <c r="H88" s="53" t="str">
        <f t="shared" si="9"/>
        <v/>
      </c>
      <c r="I88" s="30"/>
      <c r="J88" s="122"/>
    </row>
    <row r="89" spans="2:10" ht="20.25" x14ac:dyDescent="0.3">
      <c r="B89" s="30"/>
      <c r="C89" s="50" t="s">
        <v>17</v>
      </c>
      <c r="D89" s="73">
        <f>IF(D17&lt;&gt;"",D17*D88,"")</f>
        <v>20000</v>
      </c>
      <c r="E89" s="73">
        <f>IF(E17&lt;&gt;"",E17*E88,"")</f>
        <v>500</v>
      </c>
      <c r="F89" s="73" t="str">
        <f>IF(F17&lt;&gt;"",F17*F88,"")</f>
        <v/>
      </c>
      <c r="G89" s="73" t="str">
        <f>IF(G17&lt;&gt;"",G17*G88,"")</f>
        <v/>
      </c>
      <c r="H89" s="73" t="str">
        <f>IF(H17&lt;&gt;"",H17*H88,"")</f>
        <v/>
      </c>
      <c r="I89" s="30"/>
      <c r="J89" s="122"/>
    </row>
    <row r="90" spans="2:10" ht="20.25" x14ac:dyDescent="0.3">
      <c r="B90" s="30"/>
      <c r="C90" s="271"/>
      <c r="D90" s="89"/>
      <c r="E90" s="41"/>
      <c r="F90" s="41"/>
      <c r="G90" s="41"/>
      <c r="H90" s="41"/>
      <c r="I90" s="30"/>
      <c r="J90" s="122"/>
    </row>
    <row r="91" spans="2:10" ht="20.25" x14ac:dyDescent="0.3">
      <c r="B91" s="30"/>
      <c r="C91" s="292" t="s">
        <v>561</v>
      </c>
      <c r="D91" s="67" t="str">
        <f>IF(D$17&lt;&gt;"",INDEX('Default Values (MSFT Guidance)'!$C$8:$F$21,MATCH($C91,'Default Values (MSFT Guidance)'!$B$8:$B$21,0),MATCH(D$16,'Default Values (MSFT Guidance)'!$C$6:$F$6,0)),"")</f>
        <v>Azure NetApp Files</v>
      </c>
      <c r="E91" s="67" t="str">
        <f>IF(E$17&lt;&gt;"",INDEX('Default Values (MSFT Guidance)'!$C$8:$F$21,MATCH($C91,'Default Values (MSFT Guidance)'!$B$8:$B$21,0),MATCH(E$16,'Default Values (MSFT Guidance)'!$C$6:$F$6,0)),"")</f>
        <v>Azure NetApp Files</v>
      </c>
      <c r="F91" s="67" t="str">
        <f>IF(F$17&lt;&gt;"",INDEX('Default Values (MSFT Guidance)'!$C$8:$F$21,MATCH($C91,'Default Values (MSFT Guidance)'!$B$8:$B$21,0),MATCH(F$16,'Default Values (MSFT Guidance)'!$C$6:$F$6,0)),"")</f>
        <v/>
      </c>
      <c r="G91" s="67" t="str">
        <f>IF(G$17&lt;&gt;"",INDEX('Default Values (MSFT Guidance)'!$C$8:$F$21,MATCH($C91,'Default Values (MSFT Guidance)'!$B$8:$B$21,0),MATCH(G$16,'Default Values (MSFT Guidance)'!$C$6:$F$6,0)),"")</f>
        <v/>
      </c>
      <c r="H91" s="67" t="str">
        <f>IF(H$17&lt;&gt;"",INDEX('Default Values (MSFT Guidance)'!$C$8:$F$21,MATCH($C91,'Default Values (MSFT Guidance)'!$B$8:$B$21,0),MATCH(H$16,'Default Values (MSFT Guidance)'!$C$6:$F$6,0)),"")</f>
        <v/>
      </c>
      <c r="I91" s="30"/>
      <c r="J91" s="157" t="s">
        <v>575</v>
      </c>
    </row>
    <row r="92" spans="2:10" ht="20.25" x14ac:dyDescent="0.3">
      <c r="B92" s="30"/>
      <c r="C92" s="292" t="s">
        <v>562</v>
      </c>
      <c r="D92" s="365"/>
      <c r="E92" s="365"/>
      <c r="F92" s="365"/>
      <c r="G92" s="365"/>
      <c r="H92" s="365"/>
      <c r="I92" s="30"/>
      <c r="J92" s="157" t="s">
        <v>576</v>
      </c>
    </row>
    <row r="93" spans="2:10" ht="20.25" x14ac:dyDescent="0.3">
      <c r="B93" s="30"/>
      <c r="C93" s="292" t="s">
        <v>470</v>
      </c>
      <c r="D93" s="53" t="str">
        <f>IF(D91&lt;&gt;"",IF(D92&lt;&gt;"",D92,D91),"")</f>
        <v>Azure NetApp Files</v>
      </c>
      <c r="E93" s="53" t="str">
        <f t="shared" ref="E93:H93" si="10">IF(E91&lt;&gt;"",IF(E92&lt;&gt;"",E92,E91),"")</f>
        <v>Azure NetApp Files</v>
      </c>
      <c r="F93" s="53" t="str">
        <f t="shared" si="10"/>
        <v/>
      </c>
      <c r="G93" s="53" t="str">
        <f t="shared" si="10"/>
        <v/>
      </c>
      <c r="H93" s="53" t="str">
        <f t="shared" si="10"/>
        <v/>
      </c>
      <c r="I93" s="30"/>
      <c r="J93" s="157" t="s">
        <v>577</v>
      </c>
    </row>
    <row r="94" spans="2:10" ht="20.25" x14ac:dyDescent="0.3">
      <c r="B94" s="30"/>
      <c r="C94" s="29" t="s">
        <v>489</v>
      </c>
      <c r="D94" s="89"/>
      <c r="E94" s="41"/>
      <c r="F94" s="41"/>
      <c r="G94" s="41"/>
      <c r="H94" s="41"/>
      <c r="I94" s="30"/>
      <c r="J94" s="157" t="s">
        <v>578</v>
      </c>
    </row>
    <row r="95" spans="2:10" ht="20.25" x14ac:dyDescent="0.3">
      <c r="B95" s="30"/>
      <c r="C95" s="271" t="str">
        <f>Reference!$AF$4</f>
        <v>Azure NetApp Files</v>
      </c>
      <c r="D95" s="89"/>
      <c r="E95" s="41"/>
      <c r="F95" s="41"/>
      <c r="G95" s="41"/>
      <c r="H95" s="41"/>
      <c r="I95" s="30"/>
      <c r="J95" s="122"/>
    </row>
    <row r="96" spans="2:10" ht="20.25" x14ac:dyDescent="0.3">
      <c r="B96" s="30"/>
      <c r="C96" s="292" t="s">
        <v>0</v>
      </c>
      <c r="D96" s="293" t="str">
        <f>IF(D20&lt;&gt;"",D20,"")</f>
        <v>us-east</v>
      </c>
      <c r="E96" s="293" t="str">
        <f>IF(E20&lt;&gt;"",E20,"")</f>
        <v>us-south-central</v>
      </c>
      <c r="F96" s="293" t="str">
        <f>IF(F20&lt;&gt;"",F20,"")</f>
        <v/>
      </c>
      <c r="G96" s="293" t="str">
        <f>IF(G20&lt;&gt;"",G20,"")</f>
        <v/>
      </c>
      <c r="H96" s="293" t="str">
        <f>IF(H20&lt;&gt;"",H20,"")</f>
        <v/>
      </c>
      <c r="I96" s="30"/>
      <c r="J96" s="122"/>
    </row>
    <row r="97" spans="2:10" ht="20.25" x14ac:dyDescent="0.3">
      <c r="B97" s="30"/>
      <c r="C97" s="292" t="s">
        <v>473</v>
      </c>
      <c r="D97" s="324" t="s">
        <v>475</v>
      </c>
      <c r="E97" s="324"/>
      <c r="F97" s="324"/>
      <c r="G97" s="324"/>
      <c r="H97" s="324"/>
      <c r="I97" s="30"/>
      <c r="J97" s="122"/>
    </row>
    <row r="98" spans="2:10" ht="20.25" x14ac:dyDescent="0.3">
      <c r="B98" s="30"/>
      <c r="C98" s="292" t="s">
        <v>481</v>
      </c>
      <c r="D98" s="325"/>
      <c r="E98" s="325"/>
      <c r="F98" s="325"/>
      <c r="G98" s="325"/>
      <c r="H98" s="325"/>
      <c r="I98" s="30"/>
      <c r="J98" s="122"/>
    </row>
    <row r="99" spans="2:10" ht="20.25" x14ac:dyDescent="0.3">
      <c r="B99" s="30"/>
      <c r="C99" s="292" t="s">
        <v>483</v>
      </c>
      <c r="D99" s="67" t="str">
        <f>IF(D$17&lt;&gt;"",INDEX('Default Values (MSFT Guidance)'!$C$8:$F$21,MATCH($C99,'Default Values (MSFT Guidance)'!$B$8:$B$21,0),MATCH(D$16,'Default Values (MSFT Guidance)'!$C$6:$F$6,0)),"")</f>
        <v>Standard</v>
      </c>
      <c r="E99" s="67" t="str">
        <f>IF(E$17&lt;&gt;"",INDEX('Default Values (MSFT Guidance)'!$C$8:$F$21,MATCH($C99,'Default Values (MSFT Guidance)'!$B$8:$B$21,0),MATCH(E$16,'Default Values (MSFT Guidance)'!$C$6:$F$6,0)),"")</f>
        <v>Standard</v>
      </c>
      <c r="F99" s="67" t="str">
        <f>IF(F$17&lt;&gt;"",INDEX('Default Values (MSFT Guidance)'!$C$8:$F$21,MATCH($C99,'Default Values (MSFT Guidance)'!$B$8:$B$21,0),MATCH(F$16,'Default Values (MSFT Guidance)'!$C$6:$F$6,0)),"")</f>
        <v/>
      </c>
      <c r="G99" s="67" t="str">
        <f>IF(G$17&lt;&gt;"",INDEX('Default Values (MSFT Guidance)'!$C$8:$F$21,MATCH($C99,'Default Values (MSFT Guidance)'!$B$8:$B$21,0),MATCH(G$16,'Default Values (MSFT Guidance)'!$C$6:$F$6,0)),"")</f>
        <v/>
      </c>
      <c r="H99" s="67" t="str">
        <f>IF(H$17&lt;&gt;"",INDEX('Default Values (MSFT Guidance)'!$C$8:$F$21,MATCH($C99,'Default Values (MSFT Guidance)'!$B$8:$B$21,0),MATCH(H$16,'Default Values (MSFT Guidance)'!$C$6:$F$6,0)),"")</f>
        <v/>
      </c>
      <c r="I99" s="30"/>
      <c r="J99" s="122"/>
    </row>
    <row r="100" spans="2:10" ht="20.25" x14ac:dyDescent="0.3">
      <c r="B100" s="30"/>
      <c r="C100" s="292" t="s">
        <v>484</v>
      </c>
      <c r="D100" s="318"/>
      <c r="E100" s="318"/>
      <c r="F100" s="318"/>
      <c r="G100" s="318"/>
      <c r="H100" s="318"/>
      <c r="I100" s="30"/>
      <c r="J100" s="122"/>
    </row>
    <row r="101" spans="2:10" ht="20.25" x14ac:dyDescent="0.3">
      <c r="B101" s="30"/>
      <c r="C101" s="292" t="s">
        <v>485</v>
      </c>
      <c r="D101" s="53" t="str">
        <f>IF(D99&lt;&gt;"",IF(D100&lt;&gt;"",D100,D99),"")</f>
        <v>Standard</v>
      </c>
      <c r="E101" s="53" t="str">
        <f t="shared" ref="E101:H101" si="11">IF(E99&lt;&gt;"",IF(E100&lt;&gt;"",E100,E99),"")</f>
        <v>Standard</v>
      </c>
      <c r="F101" s="53" t="str">
        <f t="shared" si="11"/>
        <v/>
      </c>
      <c r="G101" s="53" t="str">
        <f t="shared" si="11"/>
        <v/>
      </c>
      <c r="H101" s="53" t="str">
        <f t="shared" si="11"/>
        <v/>
      </c>
      <c r="I101" s="30"/>
      <c r="J101" s="122"/>
    </row>
    <row r="102" spans="2:10" ht="20.25" x14ac:dyDescent="0.3">
      <c r="B102" s="30"/>
      <c r="C102" s="292" t="s">
        <v>482</v>
      </c>
      <c r="D102" s="326">
        <v>0.14746000000000001</v>
      </c>
      <c r="E102" s="326"/>
      <c r="F102" s="326"/>
      <c r="G102" s="326"/>
      <c r="H102" s="326"/>
      <c r="I102" s="30"/>
      <c r="J102" s="261" t="s">
        <v>579</v>
      </c>
    </row>
    <row r="103" spans="2:10" ht="20.25" x14ac:dyDescent="0.3">
      <c r="B103" s="30"/>
      <c r="C103" s="135" t="s">
        <v>580</v>
      </c>
      <c r="D103" s="96">
        <f>IF(D102&lt;&gt;"",D89*D102*IF(D97=Reference!$AG$4,1,D98),"")</f>
        <v>2949.2000000000003</v>
      </c>
      <c r="E103" s="96" t="str">
        <f>IF(E102&lt;&gt;"",E89*E102*IF(E97=Reference!$AG$4,1,E98),"")</f>
        <v/>
      </c>
      <c r="F103" s="96" t="str">
        <f>IF(F102&lt;&gt;"",F89*F102*IF(F97=Reference!$AG$4,1,F98),"")</f>
        <v/>
      </c>
      <c r="G103" s="96" t="str">
        <f>IF(G102&lt;&gt;"",G89*G102*IF(G97=Reference!$AG$4,1,G98),"")</f>
        <v/>
      </c>
      <c r="H103" s="96" t="str">
        <f>IF(H102&lt;&gt;"",H89*H102*IF(H97=Reference!$AG$4,1,H98),"")</f>
        <v/>
      </c>
      <c r="I103" s="30"/>
      <c r="J103" s="122"/>
    </row>
    <row r="104" spans="2:10" ht="20.25" x14ac:dyDescent="0.3">
      <c r="B104" s="30"/>
      <c r="C104" s="271"/>
      <c r="D104" s="89"/>
      <c r="E104" s="41"/>
      <c r="F104" s="41"/>
      <c r="G104" s="41"/>
      <c r="H104" s="41"/>
      <c r="I104" s="30"/>
      <c r="J104" s="122"/>
    </row>
    <row r="105" spans="2:10" ht="20.25" x14ac:dyDescent="0.3">
      <c r="B105" s="30"/>
      <c r="C105" s="271" t="str">
        <f>Reference!$AF$3</f>
        <v>File Server</v>
      </c>
      <c r="D105" s="89"/>
      <c r="E105" s="41"/>
      <c r="F105" s="41"/>
      <c r="G105" s="41"/>
      <c r="H105" s="41"/>
      <c r="I105" s="30"/>
      <c r="J105" s="122"/>
    </row>
    <row r="106" spans="2:10" ht="20.25" x14ac:dyDescent="0.3">
      <c r="B106" s="30"/>
      <c r="C106" s="62" t="s">
        <v>434</v>
      </c>
      <c r="D106" s="90"/>
      <c r="E106" s="41"/>
      <c r="F106" s="41"/>
      <c r="G106" s="41"/>
      <c r="H106" s="41"/>
      <c r="I106" s="30"/>
      <c r="J106" s="122"/>
    </row>
    <row r="107" spans="2:10" ht="20.25" x14ac:dyDescent="0.3">
      <c r="B107" s="30"/>
      <c r="C107" s="50" t="s">
        <v>306</v>
      </c>
      <c r="D107" s="54">
        <f>IF(D$17&lt;&gt;"",INDEX('Default Values (MSFT Guidance)'!$C$8:$F$21,MATCH($C107,'Default Values (MSFT Guidance)'!$B$8:$B$21,0),MATCH(D$16,'Default Values (MSFT Guidance)'!$C$6:$F$6,0)),"")</f>
        <v>2000</v>
      </c>
      <c r="E107" s="54">
        <f>IF(E$17&lt;&gt;"",INDEX('Default Values (MSFT Guidance)'!$C$8:$F$21,MATCH($C107,'Default Values (MSFT Guidance)'!$B$8:$B$21,0),MATCH(E$16,'Default Values (MSFT Guidance)'!$C$6:$F$6,0)),"")</f>
        <v>2000</v>
      </c>
      <c r="F107" s="54" t="str">
        <f>IF(F$17&lt;&gt;"",INDEX('Default Values (MSFT Guidance)'!$C$8:$F$21,MATCH($C107,'Default Values (MSFT Guidance)'!$B$8:$B$21,0),MATCH(F$16,'Default Values (MSFT Guidance)'!$C$6:$F$6,0)),"")</f>
        <v/>
      </c>
      <c r="G107" s="54" t="str">
        <f>IF(G$17&lt;&gt;"",INDEX('Default Values (MSFT Guidance)'!$C$8:$F$21,MATCH($C107,'Default Values (MSFT Guidance)'!$B$8:$B$21,0),MATCH(G$16,'Default Values (MSFT Guidance)'!$C$6:$F$6,0)),"")</f>
        <v/>
      </c>
      <c r="H107" s="54" t="str">
        <f>IF(H$17&lt;&gt;"",INDEX('Default Values (MSFT Guidance)'!$C$8:$F$21,MATCH($C107,'Default Values (MSFT Guidance)'!$B$8:$B$21,0),MATCH(H$16,'Default Values (MSFT Guidance)'!$C$6:$F$6,0)),"")</f>
        <v/>
      </c>
      <c r="I107" s="30"/>
      <c r="J107" s="122"/>
    </row>
    <row r="108" spans="2:10" ht="20.25" outlineLevel="1" x14ac:dyDescent="0.3">
      <c r="B108" s="30"/>
      <c r="C108" s="50" t="s">
        <v>307</v>
      </c>
      <c r="D108" s="323"/>
      <c r="E108" s="323"/>
      <c r="F108" s="323"/>
      <c r="G108" s="323"/>
      <c r="H108" s="323"/>
      <c r="I108" s="30"/>
      <c r="J108" s="122"/>
    </row>
    <row r="109" spans="2:10" ht="20.25" outlineLevel="1" x14ac:dyDescent="0.3">
      <c r="B109" s="30"/>
      <c r="C109" s="50" t="s">
        <v>308</v>
      </c>
      <c r="D109" s="53">
        <f>IF(D107&lt;&gt;"",IF(D108&lt;&gt;"",D108,D107),"")</f>
        <v>2000</v>
      </c>
      <c r="E109" s="53">
        <f t="shared" ref="E109:H109" si="12">IF(E107&lt;&gt;"",IF(E108&lt;&gt;"",E108,E107),"")</f>
        <v>2000</v>
      </c>
      <c r="F109" s="53" t="str">
        <f t="shared" si="12"/>
        <v/>
      </c>
      <c r="G109" s="53" t="str">
        <f t="shared" si="12"/>
        <v/>
      </c>
      <c r="H109" s="53" t="str">
        <f t="shared" si="12"/>
        <v/>
      </c>
      <c r="I109" s="30"/>
      <c r="J109" s="122"/>
    </row>
    <row r="110" spans="2:10" ht="20.25" x14ac:dyDescent="0.3">
      <c r="B110" s="30"/>
      <c r="C110" s="63" t="s">
        <v>309</v>
      </c>
      <c r="D110" s="67" t="str">
        <f>IF(D$17&lt;&gt;"",INDEX('Default Values (MSFT Guidance)'!$C$8:$F$21,MATCH($C110,'Default Values (MSFT Guidance)'!$B$8:$B$21,0),MATCH(D$16,'Default Values (MSFT Guidance)'!$C$6:$F$6,0)),"")</f>
        <v>premium</v>
      </c>
      <c r="E110" s="67" t="str">
        <f>IF(E$17&lt;&gt;"",INDEX('Default Values (MSFT Guidance)'!$C$8:$F$21,MATCH($C110,'Default Values (MSFT Guidance)'!$B$8:$B$21,0),MATCH(E$16,'Default Values (MSFT Guidance)'!$C$6:$F$6,0)),"")</f>
        <v>premium</v>
      </c>
      <c r="F110" s="67" t="str">
        <f>IF(F$17&lt;&gt;"",INDEX('Default Values (MSFT Guidance)'!$C$8:$F$21,MATCH($C110,'Default Values (MSFT Guidance)'!$B$8:$B$21,0),MATCH(F$16,'Default Values (MSFT Guidance)'!$C$6:$F$6,0)),"")</f>
        <v/>
      </c>
      <c r="G110" s="67" t="str">
        <f>IF(G$17&lt;&gt;"",INDEX('Default Values (MSFT Guidance)'!$C$8:$F$21,MATCH($C110,'Default Values (MSFT Guidance)'!$B$8:$B$21,0),MATCH(G$16,'Default Values (MSFT Guidance)'!$C$6:$F$6,0)),"")</f>
        <v/>
      </c>
      <c r="H110" s="67" t="str">
        <f>IF(H$17&lt;&gt;"",INDEX('Default Values (MSFT Guidance)'!$C$8:$F$21,MATCH($C110,'Default Values (MSFT Guidance)'!$B$8:$B$21,0),MATCH(H$16,'Default Values (MSFT Guidance)'!$C$6:$F$6,0)),"")</f>
        <v/>
      </c>
      <c r="I110" s="30"/>
      <c r="J110" s="122"/>
    </row>
    <row r="111" spans="2:10" ht="20.25" outlineLevel="1" x14ac:dyDescent="0.3">
      <c r="B111" s="30"/>
      <c r="C111" s="63" t="s">
        <v>310</v>
      </c>
      <c r="D111" s="321"/>
      <c r="E111" s="321"/>
      <c r="F111" s="321"/>
      <c r="G111" s="321"/>
      <c r="H111" s="321"/>
      <c r="I111" s="30"/>
      <c r="J111" s="122"/>
    </row>
    <row r="112" spans="2:10" ht="20.25" outlineLevel="1" x14ac:dyDescent="0.3">
      <c r="B112" s="30"/>
      <c r="C112" s="63" t="s">
        <v>311</v>
      </c>
      <c r="D112" s="53" t="str">
        <f>IF(D110&lt;&gt;"",IF(D111&lt;&gt;"",D111,D110),"")</f>
        <v>premium</v>
      </c>
      <c r="E112" s="53" t="str">
        <f t="shared" ref="E112:H112" si="13">IF(E110&lt;&gt;"",IF(E111&lt;&gt;"",E111,E110),"")</f>
        <v>premium</v>
      </c>
      <c r="F112" s="53" t="str">
        <f t="shared" si="13"/>
        <v/>
      </c>
      <c r="G112" s="53" t="str">
        <f t="shared" si="13"/>
        <v/>
      </c>
      <c r="H112" s="53" t="str">
        <f t="shared" si="13"/>
        <v/>
      </c>
      <c r="I112" s="30"/>
      <c r="J112" s="122"/>
    </row>
    <row r="113" spans="2:10" ht="20.25" x14ac:dyDescent="0.3">
      <c r="B113" s="30"/>
      <c r="C113" s="50" t="s">
        <v>16</v>
      </c>
      <c r="D113" s="55" t="e">
        <f ca="1">IF(D109&lt;&gt;"",getManagedDisk(D109,D20,Currency_QS,,D112),"")</f>
        <v>#NAME?</v>
      </c>
      <c r="E113" s="55" t="e">
        <f ca="1">IF(E109&lt;&gt;"",getManagedDisk(E109,E20,Currency_QS,,E112),"")</f>
        <v>#NAME?</v>
      </c>
      <c r="F113" s="55" t="str">
        <f>IF(F109&lt;&gt;"",getManagedDisk(F109,F20,Currency_QS,,F112),"")</f>
        <v/>
      </c>
      <c r="G113" s="55" t="str">
        <f>IF(G109&lt;&gt;"",getManagedDisk(G109,G20,Currency_QS,,G112),"")</f>
        <v/>
      </c>
      <c r="H113" s="55" t="str">
        <f>IF(H109&lt;&gt;"",getManagedDisk(H109,H20,Currency_QS,,H112),"")</f>
        <v/>
      </c>
      <c r="I113" s="30"/>
      <c r="J113" s="122"/>
    </row>
    <row r="114" spans="2:10" ht="20.25" outlineLevel="1" x14ac:dyDescent="0.3">
      <c r="B114" s="30"/>
      <c r="C114" s="50" t="s">
        <v>262</v>
      </c>
      <c r="D114" s="74" t="e">
        <f ca="1">IF(D113&lt;&gt;"",getMDiskData(D113,D20,Currency_QS,"size"),"")</f>
        <v>#NAME?</v>
      </c>
      <c r="E114" s="74" t="e">
        <f ca="1">IF(E113&lt;&gt;"",getMDiskData(E113,E20,Currency_QS,"size"),"")</f>
        <v>#NAME?</v>
      </c>
      <c r="F114" s="74" t="str">
        <f>IF(F113&lt;&gt;"",getMDiskData(F113,F20,Currency_QS,"size"),"")</f>
        <v/>
      </c>
      <c r="G114" s="74" t="str">
        <f>IF(G113&lt;&gt;"",getMDiskData(G113,G20,Currency_QS,"size"),"")</f>
        <v/>
      </c>
      <c r="H114" s="74" t="str">
        <f>IF(H113&lt;&gt;"",getMDiskData(H113,H20,Currency_QS,"size"),"")</f>
        <v/>
      </c>
      <c r="I114" s="30"/>
      <c r="J114" s="122"/>
    </row>
    <row r="115" spans="2:10" ht="20.25" outlineLevel="1" x14ac:dyDescent="0.3">
      <c r="B115" s="30"/>
      <c r="C115" s="50" t="s">
        <v>260</v>
      </c>
      <c r="D115" s="74" t="e">
        <f ca="1">IF(D113&lt;&gt;"",getMDiskData(D113,D20,Currency_QS,"iops"),"")</f>
        <v>#NAME?</v>
      </c>
      <c r="E115" s="74" t="e">
        <f ca="1">IF(E113&lt;&gt;"",getMDiskData(E113,E20,Currency_QS,"iops"),"")</f>
        <v>#NAME?</v>
      </c>
      <c r="F115" s="74" t="str">
        <f>IF(F113&lt;&gt;"",getMDiskData(F113,F20,Currency_QS,"iops"),"")</f>
        <v/>
      </c>
      <c r="G115" s="74" t="str">
        <f>IF(G113&lt;&gt;"",getMDiskData(G113,G20,Currency_QS,"iops"),"")</f>
        <v/>
      </c>
      <c r="H115" s="74" t="str">
        <f>IF(H113&lt;&gt;"",getMDiskData(H113,H20,Currency_QS,"iops"),"")</f>
        <v/>
      </c>
      <c r="I115" s="30"/>
      <c r="J115" s="122"/>
    </row>
    <row r="116" spans="2:10" ht="20.25" outlineLevel="1" x14ac:dyDescent="0.3">
      <c r="B116" s="30"/>
      <c r="C116" s="50" t="s">
        <v>261</v>
      </c>
      <c r="D116" s="74" t="e">
        <f ca="1">IF(D113&lt;&gt;"",getMDiskData(D113,D20,Currency_QS,"speed"),"")</f>
        <v>#NAME?</v>
      </c>
      <c r="E116" s="74" t="e">
        <f ca="1">IF(E113&lt;&gt;"",getMDiskData(E113,E20,Currency_QS,"speed"),"")</f>
        <v>#NAME?</v>
      </c>
      <c r="F116" s="74" t="str">
        <f>IF(F113&lt;&gt;"",getMDiskData(F113,F20,Currency_QS,"speed"),"")</f>
        <v/>
      </c>
      <c r="G116" s="74" t="str">
        <f>IF(G113&lt;&gt;"",getMDiskData(G113,G20,Currency_QS,"speed"),"")</f>
        <v/>
      </c>
      <c r="H116" s="74" t="str">
        <f>IF(H113&lt;&gt;"",getMDiskData(H113,H20,Currency_QS,"speed"),"")</f>
        <v/>
      </c>
      <c r="I116" s="30"/>
      <c r="J116" s="122"/>
    </row>
    <row r="117" spans="2:10" ht="20.25" x14ac:dyDescent="0.3">
      <c r="B117" s="30"/>
      <c r="C117" s="50" t="s">
        <v>353</v>
      </c>
      <c r="D117" s="75" t="e">
        <f ca="1">IF(D113&lt;&gt;"",getManagedDiskPriceMonth(D113,D20,Currency_QS),"")</f>
        <v>#NAME?</v>
      </c>
      <c r="E117" s="75" t="e">
        <f ca="1">IF(E113&lt;&gt;"",getManagedDiskPriceMonth(E113,E20,Currency_QS),"")</f>
        <v>#NAME?</v>
      </c>
      <c r="F117" s="75" t="str">
        <f>IF(F113&lt;&gt;"",getManagedDiskPriceMonth(F113,F20,Currency_QS),"")</f>
        <v/>
      </c>
      <c r="G117" s="75" t="str">
        <f>IF(G113&lt;&gt;"",getManagedDiskPriceMonth(G113,G20,Currency_QS),"")</f>
        <v/>
      </c>
      <c r="H117" s="75" t="str">
        <f>IF(H113&lt;&gt;"",getManagedDiskPriceMonth(H113,H20,Currency_QS),"")</f>
        <v/>
      </c>
      <c r="I117" s="30"/>
      <c r="J117" s="122"/>
    </row>
    <row r="118" spans="2:10" ht="20.25" x14ac:dyDescent="0.3">
      <c r="B118" s="30"/>
      <c r="C118" s="50" t="s">
        <v>259</v>
      </c>
      <c r="D118" s="76" t="e">
        <f ca="1">IF(D114&lt;&gt;"",ROUNDUP(D89/D114,0),"")</f>
        <v>#NAME?</v>
      </c>
      <c r="E118" s="76" t="e">
        <f ca="1">IF(E114&lt;&gt;"",ROUNDUP(E89/E114,0),"")</f>
        <v>#NAME?</v>
      </c>
      <c r="F118" s="76" t="str">
        <f>IF(F114&lt;&gt;"",ROUNDUP(F89/F114,0),"")</f>
        <v/>
      </c>
      <c r="G118" s="76" t="str">
        <f>IF(G114&lt;&gt;"",ROUNDUP(G89/G114,0),"")</f>
        <v/>
      </c>
      <c r="H118" s="76" t="str">
        <f>IF(H114&lt;&gt;"",ROUNDUP(H89/H114,0),"")</f>
        <v/>
      </c>
      <c r="I118" s="30"/>
      <c r="J118" s="122"/>
    </row>
    <row r="119" spans="2:10" ht="20.25" x14ac:dyDescent="0.3">
      <c r="B119" s="30"/>
      <c r="C119" s="51" t="s">
        <v>354</v>
      </c>
      <c r="D119" s="98" t="e">
        <f ca="1">IF(D118&lt;&gt;"",D117*D118,"")</f>
        <v>#NAME?</v>
      </c>
      <c r="E119" s="72" t="e">
        <f t="shared" ref="E119:H119" ca="1" si="14">IF(E118&lt;&gt;"",E117*E118,"")</f>
        <v>#NAME?</v>
      </c>
      <c r="F119" s="72" t="str">
        <f t="shared" si="14"/>
        <v/>
      </c>
      <c r="G119" s="72" t="str">
        <f t="shared" si="14"/>
        <v/>
      </c>
      <c r="H119" s="72" t="str">
        <f t="shared" si="14"/>
        <v/>
      </c>
      <c r="I119" s="30"/>
      <c r="J119" s="122"/>
    </row>
    <row r="120" spans="2:10" ht="20.25" x14ac:dyDescent="0.3">
      <c r="B120" s="30"/>
      <c r="C120" s="30"/>
      <c r="D120" s="30"/>
      <c r="E120" s="30"/>
      <c r="F120" s="30"/>
      <c r="G120" s="30"/>
      <c r="H120" s="30"/>
      <c r="I120" s="30"/>
      <c r="J120" s="122"/>
    </row>
    <row r="121" spans="2:10" ht="20.25" x14ac:dyDescent="0.3">
      <c r="B121" s="30"/>
      <c r="C121" s="62" t="s">
        <v>563</v>
      </c>
      <c r="D121" s="90" t="s">
        <v>566</v>
      </c>
      <c r="E121" s="41"/>
      <c r="F121" s="41"/>
      <c r="G121" s="41"/>
      <c r="H121" s="41"/>
      <c r="I121" s="30"/>
      <c r="J121" s="122"/>
    </row>
    <row r="122" spans="2:10" ht="20.25" outlineLevel="1" x14ac:dyDescent="0.3">
      <c r="B122" s="30"/>
      <c r="C122" s="63" t="s">
        <v>263</v>
      </c>
      <c r="D122" s="366" t="s">
        <v>265</v>
      </c>
      <c r="E122" s="366" t="s">
        <v>583</v>
      </c>
      <c r="F122" s="366"/>
      <c r="G122" s="366"/>
      <c r="H122" s="366"/>
      <c r="I122" s="30"/>
      <c r="J122" s="122"/>
    </row>
    <row r="123" spans="2:10" ht="20.25" outlineLevel="1" x14ac:dyDescent="0.3">
      <c r="B123" s="30"/>
      <c r="C123" s="63" t="s">
        <v>329</v>
      </c>
      <c r="D123" s="52" t="str">
        <f>IF(D122&lt;&gt;"",$D$8,"")</f>
        <v>Available</v>
      </c>
      <c r="E123" s="52" t="str">
        <f t="shared" ref="E123:H123" si="15">IF(E122&lt;&gt;"",$D$8,"")</f>
        <v>Available</v>
      </c>
      <c r="F123" s="52" t="str">
        <f t="shared" si="15"/>
        <v/>
      </c>
      <c r="G123" s="52" t="str">
        <f t="shared" si="15"/>
        <v/>
      </c>
      <c r="H123" s="52" t="str">
        <f t="shared" si="15"/>
        <v/>
      </c>
      <c r="I123" s="30"/>
      <c r="J123" s="122"/>
    </row>
    <row r="124" spans="2:10" ht="20.25" hidden="1" outlineLevel="1" x14ac:dyDescent="0.3">
      <c r="B124" s="30"/>
      <c r="C124" s="63" t="s">
        <v>571</v>
      </c>
      <c r="D124" s="52" t="str">
        <f>IF(D122&lt;&gt;"",IF(D123=Reference!$AD$3,"linux","windows")&amp;"-"&amp;LOWER(SUBSTITUTE(D122," ",""))&amp;"-standard","")</f>
        <v>linux-ds1v2-standard</v>
      </c>
      <c r="E124" s="52" t="str">
        <f>IF(E122&lt;&gt;"",IF(E123=Reference!$AD$3,"linux","windows")&amp;"-"&amp;LOWER(SUBSTITUTE(E122," ",""))&amp;"-standard","")</f>
        <v>linux-ds2v2-standard</v>
      </c>
      <c r="F124" s="52" t="str">
        <f>IF(F122&lt;&gt;"",IF(F123=Reference!$AD$3,"linux","windows")&amp;"-"&amp;LOWER(SUBSTITUTE(F122," ",""))&amp;"-standard","")</f>
        <v/>
      </c>
      <c r="G124" s="52" t="str">
        <f>IF(G122&lt;&gt;"",IF(G123=Reference!$AD$3,"linux","windows")&amp;"-"&amp;LOWER(SUBSTITUTE(G122," ",""))&amp;"-standard","")</f>
        <v/>
      </c>
      <c r="H124" s="52" t="str">
        <f>IF(H122&lt;&gt;"",IF(H123=Reference!$AD$3,"linux","windows")&amp;"-"&amp;LOWER(SUBSTITUTE(H122," ",""))&amp;"-standard","")</f>
        <v/>
      </c>
      <c r="I124" s="30"/>
      <c r="J124" s="122"/>
    </row>
    <row r="125" spans="2:10" ht="20.25" outlineLevel="1" x14ac:dyDescent="0.3">
      <c r="B125" s="30"/>
      <c r="C125" s="63" t="s">
        <v>567</v>
      </c>
      <c r="D125" s="52">
        <f>IF(D122&lt;&gt;"",IF(D27=Reference!$W$4,0,1),"")</f>
        <v>1</v>
      </c>
      <c r="E125" s="52">
        <f>IF(E122&lt;&gt;"",IF(E27=Reference!$W$4,0,1),"")</f>
        <v>1</v>
      </c>
      <c r="F125" s="52" t="str">
        <f>IF(F122&lt;&gt;"",IF(F27=Reference!$W$4,0,1),"")</f>
        <v/>
      </c>
      <c r="G125" s="52" t="str">
        <f>IF(G122&lt;&gt;"",IF(G27=Reference!$W$4,0,1),"")</f>
        <v/>
      </c>
      <c r="H125" s="52" t="str">
        <f>IF(H122&lt;&gt;"",IF(H27=Reference!$W$4,0,1),"")</f>
        <v/>
      </c>
      <c r="I125" s="30"/>
      <c r="J125" s="122"/>
    </row>
    <row r="126" spans="2:10" ht="20.25" outlineLevel="1" x14ac:dyDescent="0.3">
      <c r="B126" s="30"/>
      <c r="C126" s="63" t="s">
        <v>568</v>
      </c>
      <c r="D126" s="366">
        <v>2</v>
      </c>
      <c r="E126" s="366">
        <v>2</v>
      </c>
      <c r="F126" s="366"/>
      <c r="G126" s="366"/>
      <c r="H126" s="366"/>
      <c r="I126" s="30"/>
      <c r="J126" s="122"/>
    </row>
    <row r="127" spans="2:10" ht="20.25" outlineLevel="1" x14ac:dyDescent="0.3">
      <c r="B127" s="30"/>
      <c r="C127" s="50" t="s">
        <v>321</v>
      </c>
      <c r="D127" s="366" t="s">
        <v>455</v>
      </c>
      <c r="E127" s="366" t="s">
        <v>455</v>
      </c>
      <c r="F127" s="366"/>
      <c r="G127" s="366"/>
      <c r="H127" s="366"/>
      <c r="I127" s="30"/>
      <c r="J127" s="122"/>
    </row>
    <row r="128" spans="2:10" ht="20.25" outlineLevel="1" x14ac:dyDescent="0.3">
      <c r="B128" s="30"/>
      <c r="C128" s="63" t="s">
        <v>322</v>
      </c>
      <c r="D128" s="367">
        <v>500</v>
      </c>
      <c r="E128" s="367"/>
      <c r="F128" s="367"/>
      <c r="G128" s="367"/>
      <c r="H128" s="367"/>
      <c r="I128" s="30"/>
      <c r="J128" s="122"/>
    </row>
    <row r="129" spans="1:12" ht="20.25" outlineLevel="1" x14ac:dyDescent="0.3">
      <c r="B129" s="30"/>
      <c r="C129" s="63" t="s">
        <v>335</v>
      </c>
      <c r="D129" s="95" t="e">
        <f ca="1">IF(D122&lt;&gt;"",getVMPriceHour(D124,VLOOKUP(D127,Reference!$L$3:$M$5,2,FALSE),D20,Currency_QS),"")</f>
        <v>#NAME?</v>
      </c>
      <c r="E129" s="95" t="e">
        <f ca="1">IF(E122&lt;&gt;"",getVMPriceHour(E124,VLOOKUP(E127,Reference!$L$3:$M$5,2,FALSE),E20,Currency_QS),"")</f>
        <v>#NAME?</v>
      </c>
      <c r="F129" s="95" t="str">
        <f>IF(F122&lt;&gt;"",getVMPriceHour(F124,VLOOKUP(F127,Reference!$L$3:$M$5,2,FALSE),F20,Currency_QS),"")</f>
        <v/>
      </c>
      <c r="G129" s="95" t="str">
        <f>IF(G122&lt;&gt;"",getVMPriceHour(G124,VLOOKUP(G127,Reference!$L$3:$M$5,2,FALSE),G20,Currency_QS),"")</f>
        <v/>
      </c>
      <c r="H129" s="95" t="str">
        <f>IF(H122&lt;&gt;"",getVMPriceHour(H124,VLOOKUP(H127,Reference!$L$3:$M$5,2,FALSE),H20,Currency_QS),"")</f>
        <v/>
      </c>
      <c r="I129" s="30"/>
      <c r="J129" s="122"/>
    </row>
    <row r="130" spans="1:12" ht="20.25" x14ac:dyDescent="0.3">
      <c r="B130" s="30"/>
      <c r="C130" s="65" t="s">
        <v>564</v>
      </c>
      <c r="D130" s="96" t="e">
        <f ca="1">IF(D126&lt;&gt;"",D126*D129*IF(D127=Reference!$L$3,D128,$L$24),"")</f>
        <v>#NAME?</v>
      </c>
      <c r="E130" s="66" t="e">
        <f ca="1">IF(E126&lt;&gt;"",E126*E129*$L$24,"")</f>
        <v>#NAME?</v>
      </c>
      <c r="F130" s="66" t="str">
        <f>IF(F126&lt;&gt;"",F126*F129*$L$24,"")</f>
        <v/>
      </c>
      <c r="G130" s="66" t="str">
        <f>IF(G126&lt;&gt;"",G126*G129*$L$24,"")</f>
        <v/>
      </c>
      <c r="H130" s="66" t="str">
        <f>IF(H126&lt;&gt;"",H126*H129*$L$24,"")</f>
        <v/>
      </c>
      <c r="I130" s="30"/>
      <c r="J130" s="122"/>
    </row>
    <row r="131" spans="1:12" ht="20.25" x14ac:dyDescent="0.3">
      <c r="B131" s="30"/>
      <c r="C131" s="41"/>
      <c r="D131" s="41"/>
      <c r="E131" s="41"/>
      <c r="F131" s="41"/>
      <c r="G131" s="41"/>
      <c r="H131" s="41"/>
      <c r="I131" s="30"/>
      <c r="J131" s="122"/>
    </row>
    <row r="132" spans="1:12" ht="20.25" x14ac:dyDescent="0.3">
      <c r="B132" s="30"/>
      <c r="C132" s="62" t="s">
        <v>573</v>
      </c>
      <c r="D132" s="90"/>
      <c r="E132" s="41"/>
      <c r="F132" s="41"/>
      <c r="G132" s="41"/>
      <c r="H132" s="41"/>
      <c r="I132" s="30"/>
      <c r="J132" s="122"/>
    </row>
    <row r="133" spans="1:12" ht="20.25" outlineLevel="1" x14ac:dyDescent="0.3">
      <c r="B133" s="30"/>
      <c r="C133" s="63" t="s">
        <v>298</v>
      </c>
      <c r="D133" s="54">
        <f>IF(D$122&lt;&gt;"",INDEX('Default Values (MSFT Guidance)'!$C$8:$F$21,MATCH($C133,'Default Values (MSFT Guidance)'!$B$8:$B$21,0),MATCH(D$16,'Default Values (MSFT Guidance)'!$C$6:$F$6,0)),"")</f>
        <v>127</v>
      </c>
      <c r="E133" s="54">
        <f>IF(E$122&lt;&gt;"",INDEX('Default Values (MSFT Guidance)'!$C$8:$F$21,MATCH($C133,'Default Values (MSFT Guidance)'!$B$8:$B$21,0),MATCH(E$16,'Default Values (MSFT Guidance)'!$C$6:$F$6,0)),"")</f>
        <v>127</v>
      </c>
      <c r="F133" s="54" t="str">
        <f>IF(F$122&lt;&gt;"",INDEX('Default Values (MSFT Guidance)'!$C$8:$F$21,MATCH($C133,'Default Values (MSFT Guidance)'!$B$8:$B$21,0),MATCH(F$16,'Default Values (MSFT Guidance)'!$C$6:$F$6,0)),"")</f>
        <v/>
      </c>
      <c r="G133" s="54" t="str">
        <f>IF(G$122&lt;&gt;"",INDEX('Default Values (MSFT Guidance)'!$C$8:$F$21,MATCH($C133,'Default Values (MSFT Guidance)'!$B$8:$B$21,0),MATCH(G$16,'Default Values (MSFT Guidance)'!$C$6:$F$6,0)),"")</f>
        <v/>
      </c>
      <c r="H133" s="54" t="str">
        <f>IF(H$122&lt;&gt;"",INDEX('Default Values (MSFT Guidance)'!$C$8:$F$21,MATCH($C133,'Default Values (MSFT Guidance)'!$B$8:$B$21,0),MATCH(H$16,'Default Values (MSFT Guidance)'!$C$6:$F$6,0)),"")</f>
        <v/>
      </c>
      <c r="I133" s="30"/>
      <c r="J133" s="122"/>
    </row>
    <row r="134" spans="1:12" ht="20.25" outlineLevel="1" x14ac:dyDescent="0.3">
      <c r="B134" s="30"/>
      <c r="C134" s="63" t="s">
        <v>554</v>
      </c>
      <c r="D134" s="321"/>
      <c r="E134" s="321"/>
      <c r="F134" s="321"/>
      <c r="G134" s="321"/>
      <c r="H134" s="321"/>
      <c r="I134" s="30"/>
      <c r="J134" s="122"/>
    </row>
    <row r="135" spans="1:12" ht="20.25" outlineLevel="1" x14ac:dyDescent="0.3">
      <c r="B135" s="30"/>
      <c r="C135" s="63" t="s">
        <v>555</v>
      </c>
      <c r="D135" s="53">
        <f>IF(D133&lt;&gt;"",IF(D134&lt;&gt;"",D134,D133),"")</f>
        <v>127</v>
      </c>
      <c r="E135" s="53">
        <f t="shared" ref="E135:H135" si="16">IF(E133&lt;&gt;"",IF(E134&lt;&gt;"",E134,E133),"")</f>
        <v>127</v>
      </c>
      <c r="F135" s="53" t="str">
        <f t="shared" si="16"/>
        <v/>
      </c>
      <c r="G135" s="53" t="str">
        <f t="shared" si="16"/>
        <v/>
      </c>
      <c r="H135" s="53" t="str">
        <f t="shared" si="16"/>
        <v/>
      </c>
      <c r="I135" s="30"/>
      <c r="J135" s="122"/>
    </row>
    <row r="136" spans="1:12" ht="20.25" outlineLevel="1" x14ac:dyDescent="0.3">
      <c r="B136" s="30"/>
      <c r="C136" s="63" t="s">
        <v>299</v>
      </c>
      <c r="D136" s="54">
        <f>IF(D$122&lt;&gt;"",INDEX('Default Values (MSFT Guidance)'!$C$8:$F$21,MATCH($C136,'Default Values (MSFT Guidance)'!$B$8:$B$21,0),MATCH(D$16,'Default Values (MSFT Guidance)'!$C$6:$F$6,0)),"")</f>
        <v>1</v>
      </c>
      <c r="E136" s="54">
        <f>IF(E$122&lt;&gt;"",INDEX('Default Values (MSFT Guidance)'!$C$8:$F$21,MATCH($C136,'Default Values (MSFT Guidance)'!$B$8:$B$21,0),MATCH(E$16,'Default Values (MSFT Guidance)'!$C$6:$F$6,0)),"")</f>
        <v>1</v>
      </c>
      <c r="F136" s="54" t="str">
        <f>IF(F$122&lt;&gt;"",INDEX('Default Values (MSFT Guidance)'!$C$8:$F$21,MATCH($C136,'Default Values (MSFT Guidance)'!$B$8:$B$21,0),MATCH(F$16,'Default Values (MSFT Guidance)'!$C$6:$F$6,0)),"")</f>
        <v/>
      </c>
      <c r="G136" s="54" t="str">
        <f>IF(G$122&lt;&gt;"",INDEX('Default Values (MSFT Guidance)'!$C$8:$F$21,MATCH($C136,'Default Values (MSFT Guidance)'!$B$8:$B$21,0),MATCH(G$16,'Default Values (MSFT Guidance)'!$C$6:$F$6,0)),"")</f>
        <v/>
      </c>
      <c r="H136" s="54" t="str">
        <f>IF(H$122&lt;&gt;"",INDEX('Default Values (MSFT Guidance)'!$C$8:$F$21,MATCH($C136,'Default Values (MSFT Guidance)'!$B$8:$B$21,0),MATCH(H$16,'Default Values (MSFT Guidance)'!$C$6:$F$6,0)),"")</f>
        <v/>
      </c>
      <c r="I136" s="30"/>
      <c r="J136" s="122"/>
    </row>
    <row r="137" spans="1:12" ht="20.25" outlineLevel="1" x14ac:dyDescent="0.3">
      <c r="B137" s="30"/>
      <c r="C137" s="63" t="s">
        <v>300</v>
      </c>
      <c r="D137" s="67" t="str">
        <f>IF(D$122&lt;&gt;"",INDEX('Default Values (MSFT Guidance)'!$C$8:$F$21,MATCH($C137,'Default Values (MSFT Guidance)'!$B$8:$B$21,0),MATCH(D$16,'Default Values (MSFT Guidance)'!$C$6:$F$6,0)),"")</f>
        <v>premium</v>
      </c>
      <c r="E137" s="67" t="str">
        <f>IF(E$122&lt;&gt;"",INDEX('Default Values (MSFT Guidance)'!$C$8:$F$21,MATCH($C137,'Default Values (MSFT Guidance)'!$B$8:$B$21,0),MATCH(E$16,'Default Values (MSFT Guidance)'!$C$6:$F$6,0)),"")</f>
        <v>premium</v>
      </c>
      <c r="F137" s="67" t="str">
        <f>IF(F$122&lt;&gt;"",INDEX('Default Values (MSFT Guidance)'!$C$8:$F$21,MATCH($C137,'Default Values (MSFT Guidance)'!$B$8:$B$21,0),MATCH(F$16,'Default Values (MSFT Guidance)'!$C$6:$F$6,0)),"")</f>
        <v/>
      </c>
      <c r="G137" s="67" t="str">
        <f>IF(G$122&lt;&gt;"",INDEX('Default Values (MSFT Guidance)'!$C$8:$F$21,MATCH($C137,'Default Values (MSFT Guidance)'!$B$8:$B$21,0),MATCH(G$16,'Default Values (MSFT Guidance)'!$C$6:$F$6,0)),"")</f>
        <v/>
      </c>
      <c r="H137" s="67" t="str">
        <f>IF(H$122&lt;&gt;"",INDEX('Default Values (MSFT Guidance)'!$C$8:$F$21,MATCH($C137,'Default Values (MSFT Guidance)'!$B$8:$B$21,0),MATCH(H$16,'Default Values (MSFT Guidance)'!$C$6:$F$6,0)),"")</f>
        <v/>
      </c>
      <c r="I137" s="30"/>
      <c r="J137" s="122"/>
      <c r="L137" s="43"/>
    </row>
    <row r="138" spans="1:12" ht="20.25" outlineLevel="2" x14ac:dyDescent="0.3">
      <c r="B138" s="30"/>
      <c r="C138" s="63" t="s">
        <v>301</v>
      </c>
      <c r="D138" s="321"/>
      <c r="E138" s="321"/>
      <c r="F138" s="321"/>
      <c r="G138" s="321"/>
      <c r="H138" s="321"/>
      <c r="I138" s="30"/>
      <c r="J138" s="122"/>
    </row>
    <row r="139" spans="1:12" ht="20.25" outlineLevel="2" x14ac:dyDescent="0.3">
      <c r="A139" s="32"/>
      <c r="B139" s="30"/>
      <c r="C139" s="63" t="s">
        <v>302</v>
      </c>
      <c r="D139" s="53" t="str">
        <f>IF(D137&lt;&gt;"",IF(D138&lt;&gt;"",D138,D137),"")</f>
        <v>premium</v>
      </c>
      <c r="E139" s="53" t="str">
        <f t="shared" ref="E139:H139" si="17">IF(E137&lt;&gt;"",IF(E138&lt;&gt;"",E138,E137),"")</f>
        <v>premium</v>
      </c>
      <c r="F139" s="53" t="str">
        <f t="shared" si="17"/>
        <v/>
      </c>
      <c r="G139" s="53" t="str">
        <f t="shared" si="17"/>
        <v/>
      </c>
      <c r="H139" s="53" t="str">
        <f t="shared" si="17"/>
        <v/>
      </c>
      <c r="I139" s="30"/>
      <c r="J139" s="122"/>
      <c r="K139" s="32"/>
    </row>
    <row r="140" spans="1:12" ht="20.25" outlineLevel="1" x14ac:dyDescent="0.3">
      <c r="B140" s="30"/>
      <c r="C140" s="50" t="s">
        <v>256</v>
      </c>
      <c r="D140" s="68" t="e">
        <f ca="1">IF(D135&lt;&gt;"",getManagedDisk(D135,D20,Currency_QS,,D139),"")</f>
        <v>#NAME?</v>
      </c>
      <c r="E140" s="68" t="e">
        <f ca="1">IF(E135&lt;&gt;"",getManagedDisk(E135,E20,Currency_QS,,E139),"")</f>
        <v>#NAME?</v>
      </c>
      <c r="F140" s="68" t="str">
        <f>IF(F135&lt;&gt;"",getManagedDisk(F135,F20,Currency_QS,,F139),"")</f>
        <v/>
      </c>
      <c r="G140" s="68" t="str">
        <f>IF(G135&lt;&gt;"",getManagedDisk(G135,G20,Currency_QS,,G139),"")</f>
        <v/>
      </c>
      <c r="H140" s="68" t="str">
        <f>IF(H135&lt;&gt;"",getManagedDisk(H135,H20,Currency_QS,,H139),"")</f>
        <v/>
      </c>
      <c r="I140" s="30"/>
      <c r="J140" s="110"/>
    </row>
    <row r="141" spans="1:12" ht="20.25" outlineLevel="2" x14ac:dyDescent="0.3">
      <c r="B141" s="30"/>
      <c r="C141" s="50" t="s">
        <v>257</v>
      </c>
      <c r="D141" s="69" t="e">
        <f ca="1">IF(D140&lt;&gt;"",getMDiskData(D140,D20,Currency_QS,"size"),"")</f>
        <v>#NAME?</v>
      </c>
      <c r="E141" s="69" t="e">
        <f ca="1">IF(E140&lt;&gt;"",getMDiskData(E140,E20,Currency_QS,"size"),"")</f>
        <v>#NAME?</v>
      </c>
      <c r="F141" s="69" t="str">
        <f>IF(F140&lt;&gt;"",getMDiskData(F140,F20,Currency_QS,"size"),"")</f>
        <v/>
      </c>
      <c r="G141" s="69" t="str">
        <f>IF(G140&lt;&gt;"",getMDiskData(G140,G20,Currency_QS,"size"),"")</f>
        <v/>
      </c>
      <c r="H141" s="69" t="str">
        <f>IF(H140&lt;&gt;"",getMDiskData(H140,H20,Currency_QS,"size"),"")</f>
        <v/>
      </c>
      <c r="I141" s="30"/>
      <c r="J141" s="33"/>
    </row>
    <row r="142" spans="1:12" ht="20.25" outlineLevel="2" x14ac:dyDescent="0.3">
      <c r="B142" s="30"/>
      <c r="C142" s="50" t="s">
        <v>260</v>
      </c>
      <c r="D142" s="69" t="e">
        <f ca="1">IF(D140&lt;&gt;"",getMDiskData(D140,D20,Currency_QS,"iops"),"")</f>
        <v>#NAME?</v>
      </c>
      <c r="E142" s="69" t="e">
        <f ca="1">IF(E140&lt;&gt;"",getMDiskData(E140,E20,Currency_QS,"iops"),"")</f>
        <v>#NAME?</v>
      </c>
      <c r="F142" s="69" t="str">
        <f>IF(F140&lt;&gt;"",getMDiskData(F140,F20,Currency_QS,"iops"),"")</f>
        <v/>
      </c>
      <c r="G142" s="69" t="str">
        <f>IF(G140&lt;&gt;"",getMDiskData(G140,G20,Currency_QS,"iops"),"")</f>
        <v/>
      </c>
      <c r="H142" s="69" t="str">
        <f>IF(H140&lt;&gt;"",getMDiskData(H140,H20,Currency_QS,"iops"),"")</f>
        <v/>
      </c>
      <c r="I142" s="30"/>
      <c r="J142" s="111"/>
    </row>
    <row r="143" spans="1:12" ht="20.25" outlineLevel="2" x14ac:dyDescent="0.3">
      <c r="B143" s="30"/>
      <c r="C143" s="50" t="s">
        <v>266</v>
      </c>
      <c r="D143" s="69" t="e">
        <f ca="1">IF(D140&lt;&gt;"",getMDiskData(D140,D20,Currency_QS,"speed"),"")</f>
        <v>#NAME?</v>
      </c>
      <c r="E143" s="69" t="e">
        <f ca="1">IF(E140&lt;&gt;"",getMDiskData(E140,E20,Currency_QS,"speed"),"")</f>
        <v>#NAME?</v>
      </c>
      <c r="F143" s="69" t="str">
        <f>IF(F140&lt;&gt;"",getMDiskData(F140,F20,Currency_QS,"speed"),"")</f>
        <v/>
      </c>
      <c r="G143" s="69" t="str">
        <f>IF(G140&lt;&gt;"",getMDiskData(G140,G20,Currency_QS,"speed"),"")</f>
        <v/>
      </c>
      <c r="H143" s="69" t="str">
        <f>IF(H140&lt;&gt;"",getMDiskData(H140,H20,Currency_QS,"speed"),"")</f>
        <v/>
      </c>
      <c r="I143" s="30"/>
      <c r="J143" s="33"/>
    </row>
    <row r="144" spans="1:12" ht="20.25" outlineLevel="2" x14ac:dyDescent="0.3">
      <c r="B144" s="30"/>
      <c r="C144" s="50" t="s">
        <v>350</v>
      </c>
      <c r="D144" s="75" t="e">
        <f ca="1">IF(D140&lt;&gt;"",getManagedDiskPriceMonth(D140,D20,Currency_QS),"")</f>
        <v>#NAME?</v>
      </c>
      <c r="E144" s="75" t="e">
        <f ca="1">IF(E140&lt;&gt;"",getManagedDiskPriceMonth(E140,E20,Currency_QS),"")</f>
        <v>#NAME?</v>
      </c>
      <c r="F144" s="75" t="str">
        <f>IF(F140&lt;&gt;"",getManagedDiskPriceMonth(F140,F20,Currency_QS),"")</f>
        <v/>
      </c>
      <c r="G144" s="75" t="str">
        <f>IF(G140&lt;&gt;"",getManagedDiskPriceMonth(G140,G20,Currency_QS),"")</f>
        <v/>
      </c>
      <c r="H144" s="75" t="str">
        <f>IF(H140&lt;&gt;"",getManagedDiskPriceMonth(H140,H20,Currency_QS),"")</f>
        <v/>
      </c>
      <c r="I144" s="30"/>
      <c r="J144" s="33"/>
    </row>
    <row r="145" spans="2:11" ht="20.25" outlineLevel="1" x14ac:dyDescent="0.3">
      <c r="B145" s="30"/>
      <c r="C145" s="50" t="s">
        <v>351</v>
      </c>
      <c r="D145" s="97" t="e">
        <f ca="1">IF(D144&lt;&gt;"",D136*D144,"")</f>
        <v>#NAME?</v>
      </c>
      <c r="E145" s="97" t="e">
        <f t="shared" ref="E145:H145" ca="1" si="18">IF(E144&lt;&gt;"",E136*E144,"")</f>
        <v>#NAME?</v>
      </c>
      <c r="F145" s="97" t="str">
        <f t="shared" si="18"/>
        <v/>
      </c>
      <c r="G145" s="97" t="str">
        <f t="shared" si="18"/>
        <v/>
      </c>
      <c r="H145" s="97" t="str">
        <f t="shared" si="18"/>
        <v/>
      </c>
      <c r="I145" s="30"/>
      <c r="J145" s="33"/>
    </row>
    <row r="146" spans="2:11" ht="20.25" outlineLevel="1" x14ac:dyDescent="0.3">
      <c r="B146" s="30"/>
      <c r="C146" s="50" t="s">
        <v>574</v>
      </c>
      <c r="D146" s="76">
        <f>IF(D126&lt;&gt;"",D126,"")</f>
        <v>2</v>
      </c>
      <c r="E146" s="76">
        <f t="shared" ref="E146:H146" si="19">IF(E126&lt;&gt;"",E126,"")</f>
        <v>2</v>
      </c>
      <c r="F146" s="76" t="str">
        <f t="shared" si="19"/>
        <v/>
      </c>
      <c r="G146" s="76" t="str">
        <f t="shared" si="19"/>
        <v/>
      </c>
      <c r="H146" s="76" t="str">
        <f t="shared" si="19"/>
        <v/>
      </c>
      <c r="I146" s="30"/>
      <c r="J146" s="33"/>
    </row>
    <row r="147" spans="2:11" ht="20.25" outlineLevel="1" x14ac:dyDescent="0.3">
      <c r="B147" s="30"/>
      <c r="C147" s="50" t="s">
        <v>352</v>
      </c>
      <c r="D147" s="97" t="e">
        <f ca="1">IF(D129&lt;&gt;"",D146*D145,"")</f>
        <v>#NAME?</v>
      </c>
      <c r="E147" s="97" t="e">
        <f t="shared" ref="E147:H147" ca="1" si="20">IF(E129&lt;&gt;"",E146*E145,"")</f>
        <v>#NAME?</v>
      </c>
      <c r="F147" s="97" t="str">
        <f t="shared" si="20"/>
        <v/>
      </c>
      <c r="G147" s="97" t="str">
        <f t="shared" si="20"/>
        <v/>
      </c>
      <c r="H147" s="97" t="str">
        <f t="shared" si="20"/>
        <v/>
      </c>
      <c r="I147" s="30"/>
      <c r="J147" s="33"/>
    </row>
    <row r="148" spans="2:11" ht="20.25" x14ac:dyDescent="0.3">
      <c r="B148" s="30"/>
      <c r="C148" s="51" t="s">
        <v>565</v>
      </c>
      <c r="D148" s="98" t="e">
        <f ca="1">IF(D147&lt;&gt;"",SUM(D147:D147),"")</f>
        <v>#NAME?</v>
      </c>
      <c r="E148" s="72" t="e">
        <f ca="1">IF(E147&lt;&gt;"",SUM(E147:E147),"")</f>
        <v>#NAME?</v>
      </c>
      <c r="F148" s="72" t="str">
        <f>IF(F147&lt;&gt;"",SUM(F147:F147),"")</f>
        <v/>
      </c>
      <c r="G148" s="72" t="str">
        <f>IF(G147&lt;&gt;"",SUM(G147:G147),"")</f>
        <v/>
      </c>
      <c r="H148" s="72" t="str">
        <f>IF(H147&lt;&gt;"",SUM(H147:H147),"")</f>
        <v/>
      </c>
      <c r="I148" s="30"/>
      <c r="J148" s="111"/>
    </row>
    <row r="149" spans="2:11" ht="20.25" x14ac:dyDescent="0.3">
      <c r="B149" s="30"/>
      <c r="C149" s="41"/>
      <c r="D149" s="41"/>
      <c r="E149" s="41"/>
      <c r="F149" s="41"/>
      <c r="G149" s="41"/>
      <c r="H149" s="41"/>
      <c r="I149" s="30"/>
      <c r="J149" s="33"/>
    </row>
    <row r="150" spans="2:11" ht="20.25" x14ac:dyDescent="0.3">
      <c r="B150" s="30"/>
      <c r="C150" s="51" t="s">
        <v>581</v>
      </c>
      <c r="D150" s="98" t="e">
        <f ca="1">IF(D86&lt;&gt;"",SUM(D119,D130,D148),"")</f>
        <v>#NAME?</v>
      </c>
      <c r="E150" s="98" t="e">
        <f ca="1">IF(E86&lt;&gt;"",SUM(E119,E130,E148),"")</f>
        <v>#NAME?</v>
      </c>
      <c r="F150" s="98" t="str">
        <f>IF(F86&lt;&gt;"",SUM(F119,F130,F148),"")</f>
        <v/>
      </c>
      <c r="G150" s="98" t="str">
        <f>IF(G86&lt;&gt;"",SUM(G119,G130,G148),"")</f>
        <v/>
      </c>
      <c r="H150" s="98" t="str">
        <f>IF(H86&lt;&gt;"",SUM(H119,H130,H148),"")</f>
        <v/>
      </c>
      <c r="I150" s="30"/>
      <c r="J150" s="33"/>
    </row>
    <row r="151" spans="2:11" ht="20.25" x14ac:dyDescent="0.3">
      <c r="B151" s="30"/>
      <c r="C151" s="41"/>
      <c r="D151" s="41"/>
      <c r="E151" s="41"/>
      <c r="F151" s="41"/>
      <c r="G151" s="41"/>
      <c r="H151" s="41"/>
      <c r="I151" s="30"/>
      <c r="J151" s="33"/>
    </row>
    <row r="152" spans="2:11" ht="20.25" x14ac:dyDescent="0.3">
      <c r="B152" s="122"/>
      <c r="C152" s="157"/>
      <c r="D152" s="157"/>
      <c r="E152" s="157"/>
      <c r="F152" s="157"/>
      <c r="G152" s="157"/>
      <c r="H152" s="157"/>
      <c r="I152" s="122"/>
      <c r="J152" s="33"/>
    </row>
    <row r="153" spans="2:11" ht="18.600000000000001" customHeight="1" x14ac:dyDescent="0.3">
      <c r="B153" s="41"/>
      <c r="C153" s="30" t="s">
        <v>467</v>
      </c>
      <c r="D153" s="38"/>
      <c r="E153" s="38"/>
      <c r="F153" s="38"/>
      <c r="G153" s="38"/>
      <c r="H153" s="38"/>
      <c r="I153" s="41"/>
      <c r="K153" s="151"/>
    </row>
    <row r="154" spans="2:11" ht="18.600000000000001" customHeight="1" x14ac:dyDescent="0.3">
      <c r="B154" s="41"/>
      <c r="C154" s="41"/>
      <c r="D154" s="38"/>
      <c r="E154" s="38"/>
      <c r="F154" s="38"/>
      <c r="G154" s="38"/>
      <c r="H154" s="38"/>
      <c r="I154" s="41"/>
      <c r="K154" s="151"/>
    </row>
    <row r="155" spans="2:11" ht="18.600000000000001" customHeight="1" x14ac:dyDescent="0.3">
      <c r="B155" s="30"/>
      <c r="C155" s="165" t="s">
        <v>324</v>
      </c>
      <c r="D155" s="162"/>
      <c r="E155" s="38"/>
      <c r="F155" s="38"/>
      <c r="G155" s="38"/>
      <c r="H155" s="38"/>
      <c r="I155" s="41"/>
    </row>
    <row r="156" spans="2:11" ht="18.600000000000001" customHeight="1" outlineLevel="1" x14ac:dyDescent="0.3">
      <c r="B156" s="30"/>
      <c r="C156" s="50" t="s">
        <v>141</v>
      </c>
      <c r="D156" s="133" t="str">
        <f>IF(D20&lt;&gt;"",D20,"")</f>
        <v>us-east</v>
      </c>
      <c r="E156" s="133" t="str">
        <f>IF(E20&lt;&gt;"",E20,"")</f>
        <v>us-south-central</v>
      </c>
      <c r="F156" s="133" t="str">
        <f>IF(F20&lt;&gt;"",F20,"")</f>
        <v/>
      </c>
      <c r="G156" s="133" t="str">
        <f>IF(G20&lt;&gt;"",G20,"")</f>
        <v/>
      </c>
      <c r="H156" s="133" t="str">
        <f>IF(H20&lt;&gt;"",H20,"")</f>
        <v/>
      </c>
      <c r="I156" s="89"/>
      <c r="J156" s="153"/>
      <c r="K156" s="153"/>
    </row>
    <row r="157" spans="2:11" ht="18.600000000000001" customHeight="1" outlineLevel="1" x14ac:dyDescent="0.3">
      <c r="B157" s="30"/>
      <c r="C157" s="50" t="s">
        <v>142</v>
      </c>
      <c r="D157" s="314" t="s">
        <v>85</v>
      </c>
      <c r="E157" s="314"/>
      <c r="F157" s="314"/>
      <c r="G157" s="314"/>
      <c r="H157" s="314"/>
      <c r="I157" s="41"/>
    </row>
    <row r="158" spans="2:11" ht="18.600000000000001" customHeight="1" outlineLevel="1" x14ac:dyDescent="0.3">
      <c r="B158" s="30"/>
      <c r="C158" s="50" t="s">
        <v>143</v>
      </c>
      <c r="D158" s="133" t="str">
        <f>IF(D156&lt;&gt;"",IF(D156=D157,Reference!$N$3,Reference!$N$4),"")</f>
        <v>Same Region</v>
      </c>
      <c r="E158" s="133" t="str">
        <f>IF(E156&lt;&gt;"",IF(E156=E157,Reference!$N$3,Reference!$N$4),"")</f>
        <v>Across Region</v>
      </c>
      <c r="F158" s="133" t="str">
        <f>IF(F156&lt;&gt;"",IF(F156=F157,Reference!$N$3,Reference!$N$4),"")</f>
        <v/>
      </c>
      <c r="G158" s="133" t="str">
        <f>IF(G156&lt;&gt;"",IF(G156=G157,Reference!$N$3,Reference!$N$4),"")</f>
        <v/>
      </c>
      <c r="H158" s="133" t="str">
        <f>IF(H156&lt;&gt;"",IF(H156=H157,Reference!$N$3,Reference!$N$4),"")</f>
        <v/>
      </c>
      <c r="I158" s="41"/>
    </row>
    <row r="159" spans="2:11" ht="18.600000000000001" customHeight="1" outlineLevel="1" x14ac:dyDescent="0.3">
      <c r="B159" s="30"/>
      <c r="C159" s="50" t="s">
        <v>312</v>
      </c>
      <c r="D159" s="168">
        <f>IF(D$16&lt;&gt;"",INDEX('Default Values (MSFT Guidance)'!$C$8:$F$21,MATCH($C159,'Default Values (MSFT Guidance)'!$B$8:$B$21,0),MATCH(D$16,'Default Values (MSFT Guidance)'!$C$6:$F$6,0)),"")</f>
        <v>100</v>
      </c>
      <c r="E159" s="168">
        <f>IF(E$16&lt;&gt;"",INDEX('Default Values (MSFT Guidance)'!$C$8:$F$21,MATCH($C159,'Default Values (MSFT Guidance)'!$B$8:$B$21,0),MATCH(E$16,'Default Values (MSFT Guidance)'!$C$6:$F$6,0)),"")</f>
        <v>100</v>
      </c>
      <c r="F159" s="168" t="str">
        <f>IF(F$16&lt;&gt;"",INDEX('Default Values (MSFT Guidance)'!$C$8:$F$21,MATCH($C159,'Default Values (MSFT Guidance)'!$B$8:$B$21,0),MATCH(F$16,'Default Values (MSFT Guidance)'!$C$6:$F$6,0)),"")</f>
        <v/>
      </c>
      <c r="G159" s="168" t="str">
        <f>IF(G$16&lt;&gt;"",INDEX('Default Values (MSFT Guidance)'!$C$8:$F$21,MATCH($C159,'Default Values (MSFT Guidance)'!$B$8:$B$21,0),MATCH(G$16,'Default Values (MSFT Guidance)'!$C$6:$F$6,0)),"")</f>
        <v/>
      </c>
      <c r="H159" s="168" t="str">
        <f>IF(H$16&lt;&gt;"",INDEX('Default Values (MSFT Guidance)'!$C$8:$F$21,MATCH($C159,'Default Values (MSFT Guidance)'!$B$8:$B$21,0),MATCH(H$16,'Default Values (MSFT Guidance)'!$C$6:$F$6,0)),"")</f>
        <v/>
      </c>
      <c r="I159" s="41"/>
    </row>
    <row r="160" spans="2:11" ht="18.600000000000001" customHeight="1" outlineLevel="1" x14ac:dyDescent="0.3">
      <c r="B160" s="30"/>
      <c r="C160" s="50" t="s">
        <v>313</v>
      </c>
      <c r="D160" s="321"/>
      <c r="E160" s="321"/>
      <c r="F160" s="321"/>
      <c r="G160" s="321"/>
      <c r="H160" s="321"/>
      <c r="I160" s="41"/>
      <c r="K160" s="154"/>
    </row>
    <row r="161" spans="2:11" ht="18.600000000000001" customHeight="1" outlineLevel="1" x14ac:dyDescent="0.3">
      <c r="B161" s="30"/>
      <c r="C161" s="50" t="s">
        <v>314</v>
      </c>
      <c r="D161" s="138">
        <f>IF(D159&lt;&gt;"",IF(D160&lt;&gt;"",D160,D159),"")</f>
        <v>100</v>
      </c>
      <c r="E161" s="138">
        <f t="shared" ref="E161:H161" si="21">IF(E159&lt;&gt;"",IF(E160&lt;&gt;"",E160,E159),"")</f>
        <v>100</v>
      </c>
      <c r="F161" s="138" t="str">
        <f t="shared" si="21"/>
        <v/>
      </c>
      <c r="G161" s="138" t="str">
        <f t="shared" si="21"/>
        <v/>
      </c>
      <c r="H161" s="138" t="str">
        <f t="shared" si="21"/>
        <v/>
      </c>
      <c r="I161" s="41"/>
    </row>
    <row r="162" spans="2:11" ht="18.600000000000001" customHeight="1" outlineLevel="1" x14ac:dyDescent="0.3">
      <c r="B162" s="30"/>
      <c r="C162" s="50" t="s">
        <v>468</v>
      </c>
      <c r="D162" s="315">
        <v>160</v>
      </c>
      <c r="E162" s="315"/>
      <c r="F162" s="315"/>
      <c r="G162" s="315"/>
      <c r="H162" s="315"/>
      <c r="I162" s="41"/>
    </row>
    <row r="163" spans="2:11" ht="18.600000000000001" customHeight="1" outlineLevel="1" x14ac:dyDescent="0.3">
      <c r="B163" s="30"/>
      <c r="C163" s="50" t="s">
        <v>148</v>
      </c>
      <c r="D163" s="138">
        <f>IF(D16&lt;&gt;"",D161*D162*D18*3600/1024/1024,"")</f>
        <v>43.9453125</v>
      </c>
      <c r="E163" s="138">
        <f>IF(E16&lt;&gt;"",E161*E162*E18*3600/1024/1024,"")</f>
        <v>0</v>
      </c>
      <c r="F163" s="138" t="str">
        <f>IF(F16&lt;&gt;"",F161*F162*F18*3600/1024/1024,"")</f>
        <v/>
      </c>
      <c r="G163" s="138" t="str">
        <f>IF(G16&lt;&gt;"",G161*G162*G18*3600/1024/1024,"")</f>
        <v/>
      </c>
      <c r="H163" s="138" t="str">
        <f>IF(H16&lt;&gt;"",H161*H162*H18*3600/1024/1024,"")</f>
        <v/>
      </c>
      <c r="I163" s="41"/>
    </row>
    <row r="164" spans="2:11" ht="18.600000000000001" customHeight="1" outlineLevel="1" x14ac:dyDescent="0.3">
      <c r="B164" s="30"/>
      <c r="C164" s="50" t="s">
        <v>147</v>
      </c>
      <c r="D164" s="164">
        <f>IF(D17&lt;&gt;"",D17*D163,"")</f>
        <v>43945.3125</v>
      </c>
      <c r="E164" s="164">
        <f>IF(E17&lt;&gt;"",E17*E163,"")</f>
        <v>0</v>
      </c>
      <c r="F164" s="164" t="str">
        <f>IF(F17&lt;&gt;"",F17*F163,"")</f>
        <v/>
      </c>
      <c r="G164" s="164" t="str">
        <f>IF(G17&lt;&gt;"",G17*G163,"")</f>
        <v/>
      </c>
      <c r="H164" s="164" t="str">
        <f>IF(H17&lt;&gt;"",H17*H163,"")</f>
        <v/>
      </c>
      <c r="I164" s="41"/>
      <c r="K164" s="154"/>
    </row>
    <row r="165" spans="2:11" ht="18.600000000000001" customHeight="1" outlineLevel="1" x14ac:dyDescent="0.3">
      <c r="B165" s="30"/>
      <c r="C165" s="50" t="s">
        <v>355</v>
      </c>
      <c r="D165" s="327">
        <v>0.01</v>
      </c>
      <c r="E165" s="327"/>
      <c r="F165" s="327"/>
      <c r="G165" s="327"/>
      <c r="H165" s="327"/>
      <c r="I165" s="41"/>
      <c r="J165" s="261" t="s">
        <v>528</v>
      </c>
    </row>
    <row r="166" spans="2:11" ht="18.600000000000001" customHeight="1" x14ac:dyDescent="0.3">
      <c r="B166" s="30"/>
      <c r="C166" s="51" t="s">
        <v>356</v>
      </c>
      <c r="D166" s="98">
        <f>IF(D164&lt;&gt;"",D164*D165,"")</f>
        <v>439.453125</v>
      </c>
      <c r="E166" s="98">
        <f t="shared" ref="E166:H166" si="22">IF(E164&lt;&gt;"",E164*E165,"")</f>
        <v>0</v>
      </c>
      <c r="F166" s="98" t="str">
        <f t="shared" si="22"/>
        <v/>
      </c>
      <c r="G166" s="98" t="str">
        <f t="shared" si="22"/>
        <v/>
      </c>
      <c r="H166" s="98" t="str">
        <f t="shared" si="22"/>
        <v/>
      </c>
      <c r="I166" s="41"/>
      <c r="J166" s="312"/>
    </row>
    <row r="167" spans="2:11" ht="18.600000000000001" customHeight="1" x14ac:dyDescent="0.3">
      <c r="B167" s="30"/>
      <c r="C167" s="41"/>
      <c r="D167" s="38"/>
      <c r="E167" s="38"/>
      <c r="F167" s="38"/>
      <c r="G167" s="38"/>
      <c r="H167" s="38"/>
      <c r="I167" s="41"/>
    </row>
    <row r="168" spans="2:11" ht="20.25" x14ac:dyDescent="0.3">
      <c r="B168" s="122"/>
      <c r="C168" s="157"/>
      <c r="D168" s="157"/>
      <c r="E168" s="157"/>
      <c r="F168" s="157"/>
      <c r="G168" s="157"/>
      <c r="H168" s="157"/>
      <c r="I168" s="122"/>
      <c r="J168" s="33"/>
    </row>
    <row r="169" spans="2:11" ht="20.25" x14ac:dyDescent="0.3">
      <c r="B169" s="30"/>
      <c r="C169" s="30" t="s">
        <v>530</v>
      </c>
      <c r="D169" s="41"/>
      <c r="E169" s="41"/>
      <c r="F169" s="41"/>
      <c r="G169" s="41"/>
      <c r="H169" s="41"/>
      <c r="I169" s="30"/>
      <c r="J169" s="33"/>
    </row>
    <row r="170" spans="2:11" ht="20.25" x14ac:dyDescent="0.3">
      <c r="B170" s="30"/>
      <c r="C170" s="41"/>
      <c r="D170" s="41"/>
      <c r="E170" s="41"/>
      <c r="F170" s="41"/>
      <c r="G170" s="41"/>
      <c r="H170" s="41"/>
      <c r="I170" s="30"/>
      <c r="J170" s="33"/>
    </row>
    <row r="171" spans="2:11" ht="20.25" x14ac:dyDescent="0.3">
      <c r="B171" s="30"/>
      <c r="C171" s="77" t="s">
        <v>359</v>
      </c>
      <c r="D171" s="41"/>
      <c r="E171" s="41"/>
      <c r="F171" s="41"/>
      <c r="G171" s="41"/>
      <c r="H171" s="41"/>
      <c r="I171" s="30"/>
      <c r="J171" s="33"/>
      <c r="K171" s="37" t="s">
        <v>416</v>
      </c>
    </row>
    <row r="172" spans="2:11" ht="20.25" x14ac:dyDescent="0.3">
      <c r="B172" s="30"/>
      <c r="C172" s="78" t="s">
        <v>446</v>
      </c>
      <c r="D172" s="100" t="e">
        <f ca="1">IF(D80&gt;0,D80,D79)</f>
        <v>#NAME?</v>
      </c>
      <c r="E172" s="100" t="e">
        <f ca="1">IF(E80&gt;0,E80,E79)</f>
        <v>#NAME?</v>
      </c>
      <c r="F172" s="100" t="str">
        <f>IF(F80&gt;0,F80,F79)</f>
        <v/>
      </c>
      <c r="G172" s="100" t="str">
        <f>IF(G80&gt;0,G80,G79)</f>
        <v/>
      </c>
      <c r="H172" s="100" t="str">
        <f>IF(H80&gt;0,H80,H79)</f>
        <v/>
      </c>
      <c r="I172" s="30"/>
      <c r="J172" s="33"/>
      <c r="K172" s="101" t="e">
        <f ca="1">SUM(D172:H172)</f>
        <v>#NAME?</v>
      </c>
    </row>
    <row r="173" spans="2:11" ht="20.25" x14ac:dyDescent="0.3">
      <c r="B173" s="30"/>
      <c r="C173" s="78" t="s">
        <v>3</v>
      </c>
      <c r="D173" s="100">
        <f>IF(D93&lt;&gt;"",IF(D93=Reference!$AF$3,D150,D103),"")</f>
        <v>2949.2000000000003</v>
      </c>
      <c r="E173" s="100" t="str">
        <f>IF(E93&lt;&gt;"",IF(E93=Reference!$AF$3,E150,E103),"")</f>
        <v/>
      </c>
      <c r="F173" s="100" t="str">
        <f>IF(F93&lt;&gt;"",IF(F93=Reference!$AF$3,F150,F103),"")</f>
        <v/>
      </c>
      <c r="G173" s="100" t="str">
        <f>IF(G93&lt;&gt;"",IF(G93=Reference!$AF$3,G150,G103),"")</f>
        <v/>
      </c>
      <c r="H173" s="100" t="str">
        <f>IF(H93&lt;&gt;"",IF(H93=Reference!$AF$3,H150,H103),"")</f>
        <v/>
      </c>
      <c r="I173" s="30"/>
      <c r="J173" s="33"/>
      <c r="K173" s="101">
        <f>SUM(D173:H173)</f>
        <v>2949.2000000000003</v>
      </c>
    </row>
    <row r="174" spans="2:11" ht="20.25" x14ac:dyDescent="0.3">
      <c r="B174" s="30"/>
      <c r="C174" s="78" t="s">
        <v>225</v>
      </c>
      <c r="D174" s="96">
        <f>D166</f>
        <v>439.453125</v>
      </c>
      <c r="E174" s="96">
        <f t="shared" ref="E174:H174" si="23">E166</f>
        <v>0</v>
      </c>
      <c r="F174" s="96" t="str">
        <f t="shared" si="23"/>
        <v/>
      </c>
      <c r="G174" s="96" t="str">
        <f t="shared" si="23"/>
        <v/>
      </c>
      <c r="H174" s="96" t="str">
        <f t="shared" si="23"/>
        <v/>
      </c>
      <c r="I174" s="30"/>
      <c r="J174" s="33"/>
      <c r="K174" s="101">
        <f>SUM(D174:H174)</f>
        <v>439.453125</v>
      </c>
    </row>
    <row r="175" spans="2:11" ht="20.25" x14ac:dyDescent="0.3">
      <c r="B175" s="30"/>
      <c r="C175" s="79" t="s">
        <v>315</v>
      </c>
      <c r="D175" s="328">
        <v>0</v>
      </c>
      <c r="E175" s="329">
        <v>0</v>
      </c>
      <c r="F175" s="329">
        <v>0</v>
      </c>
      <c r="G175" s="329">
        <v>0</v>
      </c>
      <c r="H175" s="329">
        <v>0</v>
      </c>
      <c r="I175" s="30"/>
      <c r="J175" s="33"/>
      <c r="K175" s="102">
        <f>AVERAGE(D175:H175)</f>
        <v>0</v>
      </c>
    </row>
    <row r="176" spans="2:11" ht="20.25" x14ac:dyDescent="0.3">
      <c r="B176" s="30"/>
      <c r="C176" s="79" t="s">
        <v>360</v>
      </c>
      <c r="D176" s="96" t="e">
        <f ca="1">IF(D175&lt;&gt;"",SUM(D172:D174)*(1-D175),0)</f>
        <v>#NAME?</v>
      </c>
      <c r="E176" s="96" t="e">
        <f t="shared" ref="E176:H176" ca="1" si="24">IF(E175&lt;&gt;"",SUM(E172:E174)*(1-E175),0)</f>
        <v>#NAME?</v>
      </c>
      <c r="F176" s="96">
        <f t="shared" si="24"/>
        <v>0</v>
      </c>
      <c r="G176" s="96">
        <f t="shared" si="24"/>
        <v>0</v>
      </c>
      <c r="H176" s="96">
        <f t="shared" si="24"/>
        <v>0</v>
      </c>
      <c r="I176" s="30"/>
      <c r="J176" s="33"/>
      <c r="K176" s="101" t="e">
        <f ca="1">SUM(D176:H176)</f>
        <v>#NAME?</v>
      </c>
    </row>
    <row r="177" spans="2:11" ht="20.25" x14ac:dyDescent="0.3">
      <c r="B177" s="30"/>
      <c r="C177" s="79" t="s">
        <v>361</v>
      </c>
      <c r="D177" s="96" t="e">
        <f ca="1">IF(D17&lt;&gt;"",D176/D17,0)</f>
        <v>#NAME?</v>
      </c>
      <c r="E177" s="66" t="e">
        <f ca="1">IF(E17&lt;&gt;"",E176/E17,0)</f>
        <v>#NAME?</v>
      </c>
      <c r="F177" s="66">
        <f>IF(F17&lt;&gt;"",F176/F17,0)</f>
        <v>0</v>
      </c>
      <c r="G177" s="66">
        <f>IF(G17&lt;&gt;"",G176/G17,0)</f>
        <v>0</v>
      </c>
      <c r="H177" s="66">
        <f>IF(H17&lt;&gt;"",H176/H17,0)</f>
        <v>0</v>
      </c>
      <c r="I177" s="30"/>
      <c r="J177" s="33"/>
      <c r="K177" s="100" t="e">
        <f ca="1">K176/SUM(D17:H17)</f>
        <v>#NAME?</v>
      </c>
    </row>
    <row r="178" spans="2:11" ht="20.25" x14ac:dyDescent="0.3">
      <c r="B178" s="30"/>
      <c r="C178" s="313" t="s">
        <v>529</v>
      </c>
      <c r="D178" s="30"/>
      <c r="E178" s="30"/>
      <c r="F178" s="30"/>
      <c r="G178" s="30"/>
      <c r="H178" s="30"/>
      <c r="I178" s="30"/>
    </row>
    <row r="179" spans="2:11" ht="20.25" x14ac:dyDescent="0.3">
      <c r="B179" s="122"/>
      <c r="C179" s="122"/>
      <c r="D179" s="122"/>
      <c r="E179" s="122"/>
      <c r="F179" s="122"/>
      <c r="G179" s="122"/>
      <c r="H179" s="122"/>
      <c r="I179" s="122"/>
    </row>
    <row r="180" spans="2:11" x14ac:dyDescent="0.3">
      <c r="C180" s="261" t="s">
        <v>523</v>
      </c>
    </row>
  </sheetData>
  <sheetProtection sheet="1" formatCells="0" formatColumns="0" formatRows="0"/>
  <mergeCells count="2">
    <mergeCell ref="B1:I1"/>
    <mergeCell ref="B2:I2"/>
  </mergeCells>
  <conditionalFormatting sqref="D96:H103 D107:H119 D133:H133 D150:H150 D136:H148 D122:H130">
    <cfRule type="expression" dxfId="214" priority="2">
      <formula>D$93=""</formula>
    </cfRule>
  </conditionalFormatting>
  <conditionalFormatting sqref="D134:H135">
    <cfRule type="expression" dxfId="213" priority="3">
      <formula>D$93=""</formula>
    </cfRule>
  </conditionalFormatting>
  <dataValidations count="1">
    <dataValidation type="whole" operator="greaterThanOrEqual" allowBlank="1" showInputMessage="1" showErrorMessage="1" error="Please enter the number (whole number) of total File Server VMs that is equal or bigger than minimal required " sqref="D126:H126" xr:uid="{2D9C145C-6C70-4DD2-BFD6-97D15FDC1930}">
      <formula1>D$125</formula1>
    </dataValidation>
  </dataValidations>
  <pageMargins left="0.7" right="0.7" top="0.75" bottom="0.75" header="0.3" footer="0.3"/>
  <pageSetup scale="42"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84" id="{B349BB33-3A10-4F3B-B751-9C33785D793C}">
            <xm:f>Currency_QS=Reference!$G$6</xm:f>
            <x14:dxf>
              <numFmt numFmtId="173" formatCode="[$GBP]\ #,##0.00_);[Red]\([$GBP]\ #,##0.00\)"/>
            </x14:dxf>
          </x14:cfRule>
          <xm:sqref>D60:H61 D63:H64 D117:H117 D119:H119 K176:K177 D46:H46 D176:H177 K172:K174 D129:H130 D42:H42 D79:H80 D77:H77 D172:H174</xm:sqref>
        </x14:conditionalFormatting>
        <x14:conditionalFormatting xmlns:xm="http://schemas.microsoft.com/office/excel/2006/main">
          <x14:cfRule type="expression" priority="82" id="{0E88D04C-28FD-4FCA-B2BA-6A6D660CA04D}">
            <xm:f>Currency_QS=Reference!$G$11</xm:f>
            <x14:dxf>
              <numFmt numFmtId="177" formatCode="[$DKK]\ #,##0.00_);[Red]\([$DKK]\ #,##0.00\)"/>
            </x14:dxf>
          </x14:cfRule>
          <xm:sqref>D60:H61 D63:H64 D117:H117 D119:H119 K176:K177 D46:H46 D176:H177 K172:K174 D129:H130 D42:H42 D79:H80 D77:H77 D172:H174</xm:sqref>
        </x14:conditionalFormatting>
        <x14:conditionalFormatting xmlns:xm="http://schemas.microsoft.com/office/excel/2006/main">
          <x14:cfRule type="expression" priority="83" id="{04B67515-714C-4399-B794-A5BF73C4AEFA}">
            <xm:f>Currency_QS=Reference!$G$10</xm:f>
            <x14:dxf>
              <numFmt numFmtId="176" formatCode="[$JPY]\ #,##0.00_);[Red]\([$JPY]\ #,##0.00\)"/>
            </x14:dxf>
          </x14:cfRule>
          <xm:sqref>D60:H61 D63:H64 D117:H117 D119:H119 K176:K177 D46:H46 D176:H177 K172:K174 D129:H130 D42:H42 D79:H80 D77:H77 D172:H174</xm:sqref>
        </x14:conditionalFormatting>
        <x14:conditionalFormatting xmlns:xm="http://schemas.microsoft.com/office/excel/2006/main">
          <x14:cfRule type="expression" priority="84" id="{1805B067-B0CE-4362-90BC-677726435E66}">
            <xm:f>Currency_QS=Reference!$G$9</xm:f>
            <x14:dxf>
              <numFmt numFmtId="175" formatCode="[$CAD]\ #,##0.00_);[Red]\([$CAD]\ #,##0.00\)"/>
            </x14:dxf>
          </x14:cfRule>
          <xm:sqref>D60:H61 D63:H64 D117:H117 D119:H119 K176:K177 D46:H46 D176:H177 K172:K174 D129:H130 D42:H42 D79:H80 D77:H77 D172:H174</xm:sqref>
        </x14:conditionalFormatting>
        <x14:conditionalFormatting xmlns:xm="http://schemas.microsoft.com/office/excel/2006/main">
          <x14:cfRule type="expression" priority="85" id="{499D6532-86DC-41A4-B297-A2A2B2638471}">
            <xm:f>Currency_QS=Reference!$G$8</xm:f>
            <x14:dxf>
              <numFmt numFmtId="174" formatCode="[$HKD]\ #,##0.00_);[Red]\([$HKD]\ #,##0.00\)"/>
            </x14:dxf>
          </x14:cfRule>
          <xm:sqref>D60:H61 D63:H64 D117:H117 D119:H119 K176:K177 D46:H46 D176:H177 K172:K174 D129:H130 D42:H42 D79:H80 D77:H77 D172:H174</xm:sqref>
        </x14:conditionalFormatting>
        <x14:conditionalFormatting xmlns:xm="http://schemas.microsoft.com/office/excel/2006/main">
          <x14:cfRule type="expression" priority="86" id="{568844CD-53EB-43DA-9C12-2490F068A1A1}">
            <xm:f>Currency_QS=Reference!$G$5</xm:f>
            <x14:dxf>
              <numFmt numFmtId="172" formatCode="[$EUR]\ #,##0.00_);[Red]\([$EUR]\ #,##0.00\)"/>
            </x14:dxf>
          </x14:cfRule>
          <xm:sqref>D60:H61 D63:H64 D117:H117 D119:H119 K176:K177 D46:H46 D176:H177 K172:K174 D129:H130 D42:H42 D79:H80 D77:H77 D172:H174</xm:sqref>
        </x14:conditionalFormatting>
        <x14:conditionalFormatting xmlns:xm="http://schemas.microsoft.com/office/excel/2006/main">
          <x14:cfRule type="expression" priority="87" id="{7ECB4009-F215-43E6-8064-68BDC4A4278D}">
            <xm:f>Currency_QS=Reference!$G$4</xm:f>
            <x14:dxf>
              <numFmt numFmtId="171" formatCode="[$AUD]\ #,##0.00_);[Red]\([$AUD]\ #,##0.00\)"/>
            </x14:dxf>
          </x14:cfRule>
          <xm:sqref>D60:H61 D63:H64 D117:H117 D119:H119 K176:K177 D46:H46 D176:H177 K172:K174 D129:H130 D42:H42 D79:H80 D77:H77 D172:H174</xm:sqref>
        </x14:conditionalFormatting>
        <x14:conditionalFormatting xmlns:xm="http://schemas.microsoft.com/office/excel/2006/main">
          <x14:cfRule type="expression" priority="88" id="{CBB437CE-6A6C-41FB-8865-FCD0254234C1}">
            <xm:f>Currency_QS=Reference!$G$3</xm:f>
            <x14:dxf>
              <numFmt numFmtId="170" formatCode="[$NZD]\ #,##0.00_);[Red]\([$NZD]\ #,##0.00\)"/>
            </x14:dxf>
          </x14:cfRule>
          <xm:sqref>D60:H61 D63:H64 D117:H117 D119:H119 K176:K177 D46:H46 D176:H177 K172:K174 D129:H130 D42:H42 D79:H80 D77:H77 D172:H174</xm:sqref>
        </x14:conditionalFormatting>
        <x14:conditionalFormatting xmlns:xm="http://schemas.microsoft.com/office/excel/2006/main">
          <x14:cfRule type="expression" priority="81" id="{23DBE6A8-6574-4970-AB5E-517B3444D7D9}">
            <xm:f>AND(D127&lt;&gt;Reference!$L$3,D127&lt;&gt;"")</xm:f>
            <x14:dxf>
              <font>
                <color theme="1" tint="0.499984740745262"/>
              </font>
              <fill>
                <patternFill>
                  <bgColor theme="1" tint="0.499984740745262"/>
                </patternFill>
              </fill>
            </x14:dxf>
          </x14:cfRule>
          <xm:sqref>D128:H128</xm:sqref>
        </x14:conditionalFormatting>
        <x14:conditionalFormatting xmlns:xm="http://schemas.microsoft.com/office/excel/2006/main">
          <x14:cfRule type="expression" priority="80" id="{C666AB66-9255-4F12-8067-BE2D2F224650}">
            <xm:f>Currency_QS=Reference!$G$6</xm:f>
            <x14:dxf>
              <numFmt numFmtId="173" formatCode="[$GBP]\ #,##0.00_);[Red]\([$GBP]\ #,##0.00\)"/>
            </x14:dxf>
          </x14:cfRule>
          <xm:sqref>D144:H145 D147:H148</xm:sqref>
        </x14:conditionalFormatting>
        <x14:conditionalFormatting xmlns:xm="http://schemas.microsoft.com/office/excel/2006/main">
          <x14:cfRule type="expression" priority="73" id="{F7E0639F-040D-42D7-8FB0-0D1D2C0E6354}">
            <xm:f>Currency_QS=Reference!$G$11</xm:f>
            <x14:dxf>
              <numFmt numFmtId="177" formatCode="[$DKK]\ #,##0.00_);[Red]\([$DKK]\ #,##0.00\)"/>
            </x14:dxf>
          </x14:cfRule>
          <xm:sqref>D144:H145 D147:H148</xm:sqref>
        </x14:conditionalFormatting>
        <x14:conditionalFormatting xmlns:xm="http://schemas.microsoft.com/office/excel/2006/main">
          <x14:cfRule type="expression" priority="74" id="{CBCF3E79-9FF9-4DE6-9C75-9D6B3255B92C}">
            <xm:f>Currency_QS=Reference!$G$10</xm:f>
            <x14:dxf>
              <numFmt numFmtId="176" formatCode="[$JPY]\ #,##0.00_);[Red]\([$JPY]\ #,##0.00\)"/>
            </x14:dxf>
          </x14:cfRule>
          <xm:sqref>D144:H145 D147:H148</xm:sqref>
        </x14:conditionalFormatting>
        <x14:conditionalFormatting xmlns:xm="http://schemas.microsoft.com/office/excel/2006/main">
          <x14:cfRule type="expression" priority="75" id="{36754472-45E4-4611-AC35-5A7B96152408}">
            <xm:f>Currency_QS=Reference!$G$9</xm:f>
            <x14:dxf>
              <numFmt numFmtId="175" formatCode="[$CAD]\ #,##0.00_);[Red]\([$CAD]\ #,##0.00\)"/>
            </x14:dxf>
          </x14:cfRule>
          <xm:sqref>D144:H145 D147:H148</xm:sqref>
        </x14:conditionalFormatting>
        <x14:conditionalFormatting xmlns:xm="http://schemas.microsoft.com/office/excel/2006/main">
          <x14:cfRule type="expression" priority="76" id="{E6F5627C-F16A-40EE-B149-508D1CC91B3F}">
            <xm:f>Currency_QS=Reference!$G$8</xm:f>
            <x14:dxf>
              <numFmt numFmtId="174" formatCode="[$HKD]\ #,##0.00_);[Red]\([$HKD]\ #,##0.00\)"/>
            </x14:dxf>
          </x14:cfRule>
          <xm:sqref>D144:H145 D147:H148</xm:sqref>
        </x14:conditionalFormatting>
        <x14:conditionalFormatting xmlns:xm="http://schemas.microsoft.com/office/excel/2006/main">
          <x14:cfRule type="expression" priority="77" id="{822CAF2D-68D1-42BE-9B52-7F0E58A97CD5}">
            <xm:f>Currency_QS=Reference!$G$5</xm:f>
            <x14:dxf>
              <numFmt numFmtId="172" formatCode="[$EUR]\ #,##0.00_);[Red]\([$EUR]\ #,##0.00\)"/>
            </x14:dxf>
          </x14:cfRule>
          <xm:sqref>D144:H145 D147:H148</xm:sqref>
        </x14:conditionalFormatting>
        <x14:conditionalFormatting xmlns:xm="http://schemas.microsoft.com/office/excel/2006/main">
          <x14:cfRule type="expression" priority="78" id="{CC675762-597D-407A-A841-93EB8C150E59}">
            <xm:f>Currency_QS=Reference!$G$4</xm:f>
            <x14:dxf>
              <numFmt numFmtId="171" formatCode="[$AUD]\ #,##0.00_);[Red]\([$AUD]\ #,##0.00\)"/>
            </x14:dxf>
          </x14:cfRule>
          <xm:sqref>D144:H145 D147:H148</xm:sqref>
        </x14:conditionalFormatting>
        <x14:conditionalFormatting xmlns:xm="http://schemas.microsoft.com/office/excel/2006/main">
          <x14:cfRule type="expression" priority="79" id="{733404B4-25AF-4491-AC11-C8F7068DEB0A}">
            <xm:f>Currency_QS=Reference!$G$3</xm:f>
            <x14:dxf>
              <numFmt numFmtId="170" formatCode="[$NZD]\ #,##0.00_);[Red]\([$NZD]\ #,##0.00\)"/>
            </x14:dxf>
          </x14:cfRule>
          <xm:sqref>D144:H145 D147:H148</xm:sqref>
        </x14:conditionalFormatting>
        <x14:conditionalFormatting xmlns:xm="http://schemas.microsoft.com/office/excel/2006/main">
          <x14:cfRule type="expression" priority="65" id="{35218B00-A3CE-41F9-BFF0-FF7BBB703B6B}">
            <xm:f>Currency_QS=Reference!$G$11</xm:f>
            <x14:dxf>
              <numFmt numFmtId="177" formatCode="[$DKK]\ #,##0.00_);[Red]\([$DKK]\ #,##0.00\)"/>
            </x14:dxf>
          </x14:cfRule>
          <xm:sqref>D150:H150</xm:sqref>
        </x14:conditionalFormatting>
        <x14:conditionalFormatting xmlns:xm="http://schemas.microsoft.com/office/excel/2006/main">
          <x14:cfRule type="expression" priority="72" id="{6606DBFD-8DE3-4464-91B1-E21995ED6DB4}">
            <xm:f>Currency_QS=Reference!$G$6</xm:f>
            <x14:dxf>
              <numFmt numFmtId="173" formatCode="[$GBP]\ #,##0.00_);[Red]\([$GBP]\ #,##0.00\)"/>
            </x14:dxf>
          </x14:cfRule>
          <xm:sqref>D150:H150</xm:sqref>
        </x14:conditionalFormatting>
        <x14:conditionalFormatting xmlns:xm="http://schemas.microsoft.com/office/excel/2006/main">
          <x14:cfRule type="expression" priority="66" id="{57DFDC2D-035D-4D83-A407-C5FAFDEFBD9A}">
            <xm:f>Currency_QS=Reference!$G$10</xm:f>
            <x14:dxf>
              <numFmt numFmtId="176" formatCode="[$JPY]\ #,##0.00_);[Red]\([$JPY]\ #,##0.00\)"/>
            </x14:dxf>
          </x14:cfRule>
          <xm:sqref>D150:H150</xm:sqref>
        </x14:conditionalFormatting>
        <x14:conditionalFormatting xmlns:xm="http://schemas.microsoft.com/office/excel/2006/main">
          <x14:cfRule type="expression" priority="67" id="{2468C8DB-21DA-4E8B-B12A-955ED49E1ACC}">
            <xm:f>Currency_QS=Reference!$G$9</xm:f>
            <x14:dxf>
              <numFmt numFmtId="175" formatCode="[$CAD]\ #,##0.00_);[Red]\([$CAD]\ #,##0.00\)"/>
            </x14:dxf>
          </x14:cfRule>
          <xm:sqref>D150:H150</xm:sqref>
        </x14:conditionalFormatting>
        <x14:conditionalFormatting xmlns:xm="http://schemas.microsoft.com/office/excel/2006/main">
          <x14:cfRule type="expression" priority="68" id="{36AAF3AD-F388-4D0A-9963-4CFB4D52D935}">
            <xm:f>Currency_QS=Reference!$G$8</xm:f>
            <x14:dxf>
              <numFmt numFmtId="174" formatCode="[$HKD]\ #,##0.00_);[Red]\([$HKD]\ #,##0.00\)"/>
            </x14:dxf>
          </x14:cfRule>
          <xm:sqref>D150:H150</xm:sqref>
        </x14:conditionalFormatting>
        <x14:conditionalFormatting xmlns:xm="http://schemas.microsoft.com/office/excel/2006/main">
          <x14:cfRule type="expression" priority="69" id="{0A8E32CE-D2D1-462B-823A-4D2200D16439}">
            <xm:f>Currency_QS=Reference!$G$5</xm:f>
            <x14:dxf>
              <numFmt numFmtId="172" formatCode="[$EUR]\ #,##0.00_);[Red]\([$EUR]\ #,##0.00\)"/>
            </x14:dxf>
          </x14:cfRule>
          <xm:sqref>D150:H150</xm:sqref>
        </x14:conditionalFormatting>
        <x14:conditionalFormatting xmlns:xm="http://schemas.microsoft.com/office/excel/2006/main">
          <x14:cfRule type="expression" priority="70" id="{DE0D7876-A311-4E10-9A26-8AD489C15EB6}">
            <xm:f>Currency_QS=Reference!$G$4</xm:f>
            <x14:dxf>
              <numFmt numFmtId="171" formatCode="[$AUD]\ #,##0.00_);[Red]\([$AUD]\ #,##0.00\)"/>
            </x14:dxf>
          </x14:cfRule>
          <xm:sqref>D150:H150</xm:sqref>
        </x14:conditionalFormatting>
        <x14:conditionalFormatting xmlns:xm="http://schemas.microsoft.com/office/excel/2006/main">
          <x14:cfRule type="expression" priority="71" id="{111E9B3C-EDF9-453B-8D13-28F54328A8F3}">
            <xm:f>Currency_QS=Reference!$G$3</xm:f>
            <x14:dxf>
              <numFmt numFmtId="170" formatCode="[$NZD]\ #,##0.00_);[Red]\([$NZD]\ #,##0.00\)"/>
            </x14:dxf>
          </x14:cfRule>
          <xm:sqref>D150:H150</xm:sqref>
        </x14:conditionalFormatting>
        <x14:conditionalFormatting xmlns:xm="http://schemas.microsoft.com/office/excel/2006/main">
          <x14:cfRule type="expression" priority="64" id="{42E71F1D-8488-4C47-B846-6FE59964B187}">
            <xm:f>OR(D13=Reference!$T$6,D13=Reference!$T$5)</xm:f>
            <x14:dxf>
              <font>
                <color theme="1" tint="0.499984740745262"/>
              </font>
              <fill>
                <patternFill>
                  <bgColor theme="1" tint="0.499984740745262"/>
                </patternFill>
              </fill>
            </x14:dxf>
          </x14:cfRule>
          <xm:sqref>D19:H19</xm:sqref>
        </x14:conditionalFormatting>
        <x14:conditionalFormatting xmlns:xm="http://schemas.microsoft.com/office/excel/2006/main">
          <x14:cfRule type="expression" priority="62" id="{B7A7DB53-9C0D-4FC6-BD54-7B074A604EF8}">
            <xm:f>AND(D$28&lt;&gt;Reference!$I$3,D$28&lt;&gt;"")</xm:f>
            <x14:dxf>
              <font>
                <color theme="1" tint="0.499984740745262"/>
              </font>
              <fill>
                <patternFill>
                  <bgColor theme="1" tint="0.499984740745262"/>
                </patternFill>
              </fill>
            </x14:dxf>
          </x14:cfRule>
          <xm:sqref>D29:H31</xm:sqref>
        </x14:conditionalFormatting>
        <x14:conditionalFormatting xmlns:xm="http://schemas.microsoft.com/office/excel/2006/main">
          <x14:cfRule type="expression" priority="46" id="{2BE9D610-547E-442A-80FB-9ECB470CC357}">
            <xm:f>Currency_QS=Reference!$G$11</xm:f>
            <x14:dxf>
              <numFmt numFmtId="177" formatCode="[$DKK]\ #,##0.00_);[Red]\([$DKK]\ #,##0.00\)"/>
            </x14:dxf>
          </x14:cfRule>
          <xm:sqref>D165:H166</xm:sqref>
        </x14:conditionalFormatting>
        <x14:conditionalFormatting xmlns:xm="http://schemas.microsoft.com/office/excel/2006/main">
          <x14:cfRule type="expression" priority="53" id="{07882B92-B6F9-4CA4-82D0-96EBC94B1183}">
            <xm:f>Currency_QS=Reference!$G$6</xm:f>
            <x14:dxf>
              <numFmt numFmtId="173" formatCode="[$GBP]\ #,##0.00_);[Red]\([$GBP]\ #,##0.00\)"/>
            </x14:dxf>
          </x14:cfRule>
          <xm:sqref>D165:H166</xm:sqref>
        </x14:conditionalFormatting>
        <x14:conditionalFormatting xmlns:xm="http://schemas.microsoft.com/office/excel/2006/main">
          <x14:cfRule type="expression" priority="47" id="{B0113268-F66D-4F8C-B7E4-284CE14CC21B}">
            <xm:f>Currency_QS=Reference!$G$10</xm:f>
            <x14:dxf>
              <numFmt numFmtId="176" formatCode="[$JPY]\ #,##0.00_);[Red]\([$JPY]\ #,##0.00\)"/>
            </x14:dxf>
          </x14:cfRule>
          <xm:sqref>D165:H166</xm:sqref>
        </x14:conditionalFormatting>
        <x14:conditionalFormatting xmlns:xm="http://schemas.microsoft.com/office/excel/2006/main">
          <x14:cfRule type="expression" priority="48" id="{C8B9E797-9C71-4A0D-8D2A-B84399134DE0}">
            <xm:f>Currency_QS=Reference!$G$9</xm:f>
            <x14:dxf>
              <numFmt numFmtId="175" formatCode="[$CAD]\ #,##0.00_);[Red]\([$CAD]\ #,##0.00\)"/>
            </x14:dxf>
          </x14:cfRule>
          <xm:sqref>D165:H166</xm:sqref>
        </x14:conditionalFormatting>
        <x14:conditionalFormatting xmlns:xm="http://schemas.microsoft.com/office/excel/2006/main">
          <x14:cfRule type="expression" priority="49" id="{285BB98F-11BF-414D-A2A5-0A4D0EB247EF}">
            <xm:f>Currency_QS=Reference!$G$8</xm:f>
            <x14:dxf>
              <numFmt numFmtId="174" formatCode="[$HKD]\ #,##0.00_);[Red]\([$HKD]\ #,##0.00\)"/>
            </x14:dxf>
          </x14:cfRule>
          <xm:sqref>D165:H166</xm:sqref>
        </x14:conditionalFormatting>
        <x14:conditionalFormatting xmlns:xm="http://schemas.microsoft.com/office/excel/2006/main">
          <x14:cfRule type="expression" priority="50" id="{F0A2D76E-4283-49C4-8BE0-FE043E6FF414}">
            <xm:f>Currency_QS=Reference!$G$5</xm:f>
            <x14:dxf>
              <numFmt numFmtId="172" formatCode="[$EUR]\ #,##0.00_);[Red]\([$EUR]\ #,##0.00\)"/>
            </x14:dxf>
          </x14:cfRule>
          <xm:sqref>D165:H166</xm:sqref>
        </x14:conditionalFormatting>
        <x14:conditionalFormatting xmlns:xm="http://schemas.microsoft.com/office/excel/2006/main">
          <x14:cfRule type="expression" priority="51" id="{4A5FABD2-0DF0-4326-85CD-4DE962C4FDFE}">
            <xm:f>Currency_QS=Reference!$G$4</xm:f>
            <x14:dxf>
              <numFmt numFmtId="171" formatCode="[$AUD]\ #,##0.00_);[Red]\([$AUD]\ #,##0.00\)"/>
            </x14:dxf>
          </x14:cfRule>
          <xm:sqref>D165:H166</xm:sqref>
        </x14:conditionalFormatting>
        <x14:conditionalFormatting xmlns:xm="http://schemas.microsoft.com/office/excel/2006/main">
          <x14:cfRule type="expression" priority="52" id="{56642F82-B50C-467E-9F2C-1CD92DB88CC3}">
            <xm:f>Currency_QS=Reference!$G$3</xm:f>
            <x14:dxf>
              <numFmt numFmtId="170" formatCode="[$NZD]\ #,##0.00_);[Red]\([$NZD]\ #,##0.00\)"/>
            </x14:dxf>
          </x14:cfRule>
          <xm:sqref>D165:H166</xm:sqref>
        </x14:conditionalFormatting>
        <x14:conditionalFormatting xmlns:xm="http://schemas.microsoft.com/office/excel/2006/main">
          <x14:cfRule type="expression" priority="45" id="{EE87CDEA-CCB0-40EA-9F72-0E071D603EB8}">
            <xm:f>D97=Reference!$AG$4</xm:f>
            <x14:dxf>
              <font>
                <color theme="1" tint="0.499984740745262"/>
              </font>
              <fill>
                <patternFill>
                  <bgColor theme="1" tint="0.499984740745262"/>
                </patternFill>
              </fill>
            </x14:dxf>
          </x14:cfRule>
          <xm:sqref>D98:H98</xm:sqref>
        </x14:conditionalFormatting>
        <x14:conditionalFormatting xmlns:xm="http://schemas.microsoft.com/office/excel/2006/main">
          <x14:cfRule type="expression" priority="28" id="{2596B8CE-601E-461C-871C-CD810473B01C}">
            <xm:f>Currency_QS=Reference!$G$11</xm:f>
            <x14:dxf>
              <numFmt numFmtId="177" formatCode="[$DKK]\ #,##0.00_);[Red]\([$DKK]\ #,##0.00\)"/>
            </x14:dxf>
          </x14:cfRule>
          <xm:sqref>D103:H103</xm:sqref>
        </x14:conditionalFormatting>
        <x14:conditionalFormatting xmlns:xm="http://schemas.microsoft.com/office/excel/2006/main">
          <x14:cfRule type="expression" priority="35" id="{5AB47F6F-F033-46EE-A41F-1BCD078E4986}">
            <xm:f>Currency_QS=Reference!$G$6</xm:f>
            <x14:dxf>
              <numFmt numFmtId="173" formatCode="[$GBP]\ #,##0.00_);[Red]\([$GBP]\ #,##0.00\)"/>
            </x14:dxf>
          </x14:cfRule>
          <xm:sqref>D103:H103</xm:sqref>
        </x14:conditionalFormatting>
        <x14:conditionalFormatting xmlns:xm="http://schemas.microsoft.com/office/excel/2006/main">
          <x14:cfRule type="expression" priority="29" id="{10DB5E2E-D333-446F-B053-7F65F013B56E}">
            <xm:f>Currency_QS=Reference!$G$10</xm:f>
            <x14:dxf>
              <numFmt numFmtId="176" formatCode="[$JPY]\ #,##0.00_);[Red]\([$JPY]\ #,##0.00\)"/>
            </x14:dxf>
          </x14:cfRule>
          <xm:sqref>D103:H103</xm:sqref>
        </x14:conditionalFormatting>
        <x14:conditionalFormatting xmlns:xm="http://schemas.microsoft.com/office/excel/2006/main">
          <x14:cfRule type="expression" priority="30" id="{126FF812-993B-4938-8F02-09EF0BB54E9E}">
            <xm:f>Currency_QS=Reference!$G$9</xm:f>
            <x14:dxf>
              <numFmt numFmtId="175" formatCode="[$CAD]\ #,##0.00_);[Red]\([$CAD]\ #,##0.00\)"/>
            </x14:dxf>
          </x14:cfRule>
          <xm:sqref>D103:H103</xm:sqref>
        </x14:conditionalFormatting>
        <x14:conditionalFormatting xmlns:xm="http://schemas.microsoft.com/office/excel/2006/main">
          <x14:cfRule type="expression" priority="31" id="{2B25379D-C957-4432-A840-A21211513A4C}">
            <xm:f>Currency_QS=Reference!$G$8</xm:f>
            <x14:dxf>
              <numFmt numFmtId="174" formatCode="[$HKD]\ #,##0.00_);[Red]\([$HKD]\ #,##0.00\)"/>
            </x14:dxf>
          </x14:cfRule>
          <xm:sqref>D103:H103</xm:sqref>
        </x14:conditionalFormatting>
        <x14:conditionalFormatting xmlns:xm="http://schemas.microsoft.com/office/excel/2006/main">
          <x14:cfRule type="expression" priority="32" id="{19D6E08D-5183-4268-AA8F-064900CC386B}">
            <xm:f>Currency_QS=Reference!$G$5</xm:f>
            <x14:dxf>
              <numFmt numFmtId="172" formatCode="[$EUR]\ #,##0.00_);[Red]\([$EUR]\ #,##0.00\)"/>
            </x14:dxf>
          </x14:cfRule>
          <xm:sqref>D103:H103</xm:sqref>
        </x14:conditionalFormatting>
        <x14:conditionalFormatting xmlns:xm="http://schemas.microsoft.com/office/excel/2006/main">
          <x14:cfRule type="expression" priority="33" id="{ECED89E6-ACA3-4B20-8853-3732B5B4501E}">
            <xm:f>Currency_QS=Reference!$G$4</xm:f>
            <x14:dxf>
              <numFmt numFmtId="171" formatCode="[$AUD]\ #,##0.00_);[Red]\([$AUD]\ #,##0.00\)"/>
            </x14:dxf>
          </x14:cfRule>
          <xm:sqref>D103:H103</xm:sqref>
        </x14:conditionalFormatting>
        <x14:conditionalFormatting xmlns:xm="http://schemas.microsoft.com/office/excel/2006/main">
          <x14:cfRule type="expression" priority="34" id="{65A75396-B7FA-46BD-962F-F095E550B743}">
            <xm:f>Currency_QS=Reference!$G$3</xm:f>
            <x14:dxf>
              <numFmt numFmtId="170" formatCode="[$NZD]\ #,##0.00_);[Red]\([$NZD]\ #,##0.00\)"/>
            </x14:dxf>
          </x14:cfRule>
          <xm:sqref>D103:H103</xm:sqref>
        </x14:conditionalFormatting>
        <x14:conditionalFormatting xmlns:xm="http://schemas.microsoft.com/office/excel/2006/main">
          <x14:cfRule type="expression" priority="27" id="{74DBDE26-9160-41C7-A151-D1F79E90E54B}">
            <xm:f>Currency_QS=Reference!$G$6</xm:f>
            <x14:dxf>
              <numFmt numFmtId="173" formatCode="[$GBP]\ #,##0.00_);[Red]\([$GBP]\ #,##0.00\)"/>
            </x14:dxf>
          </x14:cfRule>
          <xm:sqref>D102:H102</xm:sqref>
        </x14:conditionalFormatting>
        <x14:conditionalFormatting xmlns:xm="http://schemas.microsoft.com/office/excel/2006/main">
          <x14:cfRule type="expression" priority="20" id="{A1B7D644-3EE5-47BD-B546-478382B2B9D0}">
            <xm:f>Currency_QS=Reference!$G$11</xm:f>
            <x14:dxf>
              <numFmt numFmtId="177" formatCode="[$DKK]\ #,##0.00_);[Red]\([$DKK]\ #,##0.00\)"/>
            </x14:dxf>
          </x14:cfRule>
          <xm:sqref>D102:H102</xm:sqref>
        </x14:conditionalFormatting>
        <x14:conditionalFormatting xmlns:xm="http://schemas.microsoft.com/office/excel/2006/main">
          <x14:cfRule type="expression" priority="21" id="{A2C88045-063D-446A-90B6-58C67CCF16DB}">
            <xm:f>Currency_QS=Reference!$G$10</xm:f>
            <x14:dxf>
              <numFmt numFmtId="176" formatCode="[$JPY]\ #,##0.00_);[Red]\([$JPY]\ #,##0.00\)"/>
            </x14:dxf>
          </x14:cfRule>
          <xm:sqref>D102:H102</xm:sqref>
        </x14:conditionalFormatting>
        <x14:conditionalFormatting xmlns:xm="http://schemas.microsoft.com/office/excel/2006/main">
          <x14:cfRule type="expression" priority="22" id="{8BD1E8B5-FA06-4769-99BE-A3C7B4DC4092}">
            <xm:f>Currency_QS=Reference!$G$9</xm:f>
            <x14:dxf>
              <numFmt numFmtId="175" formatCode="[$CAD]\ #,##0.00_);[Red]\([$CAD]\ #,##0.00\)"/>
            </x14:dxf>
          </x14:cfRule>
          <xm:sqref>D102:H102</xm:sqref>
        </x14:conditionalFormatting>
        <x14:conditionalFormatting xmlns:xm="http://schemas.microsoft.com/office/excel/2006/main">
          <x14:cfRule type="expression" priority="23" id="{E7F8885F-3A3E-4AF8-A1DE-1ADC153C4023}">
            <xm:f>Currency_QS=Reference!$G$8</xm:f>
            <x14:dxf>
              <numFmt numFmtId="174" formatCode="[$HKD]\ #,##0.00_);[Red]\([$HKD]\ #,##0.00\)"/>
            </x14:dxf>
          </x14:cfRule>
          <xm:sqref>D102:H102</xm:sqref>
        </x14:conditionalFormatting>
        <x14:conditionalFormatting xmlns:xm="http://schemas.microsoft.com/office/excel/2006/main">
          <x14:cfRule type="expression" priority="24" id="{2F74414E-4AA6-49C8-9713-CE99B0E4D4F4}">
            <xm:f>Currency_QS=Reference!$G$5</xm:f>
            <x14:dxf>
              <numFmt numFmtId="172" formatCode="[$EUR]\ #,##0.00_);[Red]\([$EUR]\ #,##0.00\)"/>
            </x14:dxf>
          </x14:cfRule>
          <xm:sqref>D102:H102</xm:sqref>
        </x14:conditionalFormatting>
        <x14:conditionalFormatting xmlns:xm="http://schemas.microsoft.com/office/excel/2006/main">
          <x14:cfRule type="expression" priority="25" id="{2BFBE224-EDE3-4007-AB2A-0D7A3639DDD5}">
            <xm:f>Currency_QS=Reference!$G$4</xm:f>
            <x14:dxf>
              <numFmt numFmtId="171" formatCode="[$AUD]\ #,##0.00_);[Red]\([$AUD]\ #,##0.00\)"/>
            </x14:dxf>
          </x14:cfRule>
          <xm:sqref>D102:H102</xm:sqref>
        </x14:conditionalFormatting>
        <x14:conditionalFormatting xmlns:xm="http://schemas.microsoft.com/office/excel/2006/main">
          <x14:cfRule type="expression" priority="26" id="{04DB03DE-D8CA-4BA5-BEF9-19638CD3066C}">
            <xm:f>Currency_QS=Reference!$G$3</xm:f>
            <x14:dxf>
              <numFmt numFmtId="170" formatCode="[$NZD]\ #,##0.00_);[Red]\([$NZD]\ #,##0.00\)"/>
            </x14:dxf>
          </x14:cfRule>
          <xm:sqref>D102:H102</xm:sqref>
        </x14:conditionalFormatting>
        <x14:conditionalFormatting xmlns:xm="http://schemas.microsoft.com/office/excel/2006/main">
          <x14:cfRule type="expression" priority="19" id="{33B7BD0B-5DF9-4F10-9D5F-29377752F250}">
            <xm:f>D$93=Reference!$AF$3</xm:f>
            <x14:dxf>
              <font>
                <color theme="1" tint="0.499984740745262"/>
              </font>
              <fill>
                <patternFill>
                  <bgColor theme="1" tint="0.499984740745262"/>
                </patternFill>
              </fill>
            </x14:dxf>
          </x14:cfRule>
          <xm:sqref>D96:H103</xm:sqref>
        </x14:conditionalFormatting>
        <x14:conditionalFormatting xmlns:xm="http://schemas.microsoft.com/office/excel/2006/main">
          <x14:cfRule type="expression" priority="14" id="{2D3D8213-3337-4A33-ACBE-9125282F64AC}">
            <xm:f>D$93=Reference!$AF$4</xm:f>
            <x14:dxf>
              <font>
                <color theme="1" tint="0.499984740745262"/>
              </font>
              <fill>
                <patternFill>
                  <bgColor theme="1" tint="0.499984740745262"/>
                </patternFill>
              </fill>
            </x14:dxf>
          </x14:cfRule>
          <xm:sqref>D107:H119 D133:H133 D150:H150 D136:H148 D122:H130</xm:sqref>
        </x14:conditionalFormatting>
        <x14:conditionalFormatting xmlns:xm="http://schemas.microsoft.com/office/excel/2006/main">
          <x14:cfRule type="expression" priority="15" id="{8E8CCFA1-8C2E-46D7-A85B-82FD73EE7786}">
            <xm:f>D40=Reference!$L$3</xm:f>
            <x14:dxf>
              <font>
                <color auto="1"/>
              </font>
              <fill>
                <patternFill>
                  <bgColor rgb="FFFFFF00"/>
                </patternFill>
              </fill>
            </x14:dxf>
          </x14:cfRule>
          <xm:sqref>D41:H41</xm:sqref>
        </x14:conditionalFormatting>
        <x14:conditionalFormatting xmlns:xm="http://schemas.microsoft.com/office/excel/2006/main">
          <x14:cfRule type="expression" priority="13" id="{45CB4DAD-6529-4285-A71C-C1FA5B1522DD}">
            <xm:f>E13=Reference!$T$6</xm:f>
            <x14:dxf>
              <font>
                <color theme="1" tint="0.499984740745262"/>
              </font>
              <fill>
                <patternFill>
                  <bgColor theme="1" tint="0.499984740745262"/>
                </patternFill>
              </fill>
            </x14:dxf>
          </x14:cfRule>
          <xm:sqref>E19</xm:sqref>
        </x14:conditionalFormatting>
        <x14:conditionalFormatting xmlns:xm="http://schemas.microsoft.com/office/excel/2006/main">
          <x14:cfRule type="expression" priority="12" id="{7C45509A-944D-4B88-9EBF-E278DFACBA95}">
            <xm:f>Currency_QS=Reference!$G$6</xm:f>
            <x14:dxf>
              <numFmt numFmtId="173" formatCode="[$GBP]\ #,##0.00_);[Red]\([$GBP]\ #,##0.00\)"/>
            </x14:dxf>
          </x14:cfRule>
          <xm:sqref>D74:H75</xm:sqref>
        </x14:conditionalFormatting>
        <x14:conditionalFormatting xmlns:xm="http://schemas.microsoft.com/office/excel/2006/main">
          <x14:cfRule type="expression" priority="5" id="{A0A4CA32-E614-4446-A2E5-8BD1A941236F}">
            <xm:f>Currency_QS=Reference!$G$11</xm:f>
            <x14:dxf>
              <numFmt numFmtId="177" formatCode="[$DKK]\ #,##0.00_);[Red]\([$DKK]\ #,##0.00\)"/>
            </x14:dxf>
          </x14:cfRule>
          <xm:sqref>D74:H75</xm:sqref>
        </x14:conditionalFormatting>
        <x14:conditionalFormatting xmlns:xm="http://schemas.microsoft.com/office/excel/2006/main">
          <x14:cfRule type="expression" priority="6" id="{E062C93B-AB0F-4518-9CAF-ED1C003E7AE6}">
            <xm:f>Currency_QS=Reference!$G$10</xm:f>
            <x14:dxf>
              <numFmt numFmtId="176" formatCode="[$JPY]\ #,##0.00_);[Red]\([$JPY]\ #,##0.00\)"/>
            </x14:dxf>
          </x14:cfRule>
          <xm:sqref>D74:H75</xm:sqref>
        </x14:conditionalFormatting>
        <x14:conditionalFormatting xmlns:xm="http://schemas.microsoft.com/office/excel/2006/main">
          <x14:cfRule type="expression" priority="7" id="{2C9BBF81-E9C5-4420-94E6-7613551456E5}">
            <xm:f>Currency_QS=Reference!$G$9</xm:f>
            <x14:dxf>
              <numFmt numFmtId="175" formatCode="[$CAD]\ #,##0.00_);[Red]\([$CAD]\ #,##0.00\)"/>
            </x14:dxf>
          </x14:cfRule>
          <xm:sqref>D74:H75</xm:sqref>
        </x14:conditionalFormatting>
        <x14:conditionalFormatting xmlns:xm="http://schemas.microsoft.com/office/excel/2006/main">
          <x14:cfRule type="expression" priority="8" id="{C0DDF186-5C07-461C-8E58-CA15027C0228}">
            <xm:f>Currency_QS=Reference!$G$8</xm:f>
            <x14:dxf>
              <numFmt numFmtId="174" formatCode="[$HKD]\ #,##0.00_);[Red]\([$HKD]\ #,##0.00\)"/>
            </x14:dxf>
          </x14:cfRule>
          <xm:sqref>D74:H75</xm:sqref>
        </x14:conditionalFormatting>
        <x14:conditionalFormatting xmlns:xm="http://schemas.microsoft.com/office/excel/2006/main">
          <x14:cfRule type="expression" priority="9" id="{8B4EED45-83B8-47E8-BC59-0F04FC2715C1}">
            <xm:f>Currency_QS=Reference!$G$5</xm:f>
            <x14:dxf>
              <numFmt numFmtId="172" formatCode="[$EUR]\ #,##0.00_);[Red]\([$EUR]\ #,##0.00\)"/>
            </x14:dxf>
          </x14:cfRule>
          <xm:sqref>D74:H75</xm:sqref>
        </x14:conditionalFormatting>
        <x14:conditionalFormatting xmlns:xm="http://schemas.microsoft.com/office/excel/2006/main">
          <x14:cfRule type="expression" priority="10" id="{E187308D-B9B9-4471-A5A1-65E76F7115BC}">
            <xm:f>Currency_QS=Reference!$G$4</xm:f>
            <x14:dxf>
              <numFmt numFmtId="171" formatCode="[$AUD]\ #,##0.00_);[Red]\([$AUD]\ #,##0.00\)"/>
            </x14:dxf>
          </x14:cfRule>
          <xm:sqref>D74:H75</xm:sqref>
        </x14:conditionalFormatting>
        <x14:conditionalFormatting xmlns:xm="http://schemas.microsoft.com/office/excel/2006/main">
          <x14:cfRule type="expression" priority="11" id="{65D08513-2CDC-4BEB-A43B-51064BEF02D8}">
            <xm:f>Currency_QS=Reference!$G$3</xm:f>
            <x14:dxf>
              <numFmt numFmtId="170" formatCode="[$NZD]\ #,##0.00_);[Red]\([$NZD]\ #,##0.00\)"/>
            </x14:dxf>
          </x14:cfRule>
          <xm:sqref>D74:H75</xm:sqref>
        </x14:conditionalFormatting>
        <x14:conditionalFormatting xmlns:xm="http://schemas.microsoft.com/office/excel/2006/main">
          <x14:cfRule type="expression" priority="4" id="{84F5349C-8FD8-4CB0-B010-90473409122D}">
            <xm:f>D$93=Reference!$AF$4</xm:f>
            <x14:dxf>
              <font>
                <color theme="1" tint="0.499984740745262"/>
              </font>
              <fill>
                <patternFill>
                  <bgColor theme="1" tint="0.499984740745262"/>
                </patternFill>
              </fill>
            </x14:dxf>
          </x14:cfRule>
          <xm:sqref>D134:H135</xm:sqref>
        </x14:conditionalFormatting>
        <x14:conditionalFormatting xmlns:xm="http://schemas.microsoft.com/office/excel/2006/main">
          <x14:cfRule type="expression" priority="18" id="{4C7438B8-6D49-4A6B-9FFD-D3EAE0A86B06}">
            <xm:f>D$27=Reference!$W$4</xm:f>
            <x14:dxf>
              <fill>
                <patternFill>
                  <bgColor rgb="FFFFCCFF"/>
                </patternFill>
              </fill>
            </x14:dxf>
          </x14:cfRule>
          <xm:sqref>D122:H122</xm:sqref>
        </x14:conditionalFormatting>
        <x14:conditionalFormatting xmlns:xm="http://schemas.microsoft.com/office/excel/2006/main">
          <x14:cfRule type="expression" priority="1" id="{26D83E2A-B9F1-441B-A986-85A5F2C01DE2}">
            <xm:f>D$27=Reference!$W$4</xm:f>
            <x14:dxf>
              <fill>
                <patternFill>
                  <bgColor rgb="FFFFCCFF"/>
                </patternFill>
              </fill>
            </x14:dxf>
          </x14:cfRule>
          <xm:sqref>D126:H127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7B0C4826-E260-4580-A117-CA7B852C3FEA}">
          <x14:formula1>
            <xm:f>Reference!$T$3:$T$6</xm:f>
          </x14:formula1>
          <xm:sqref>D13:H13</xm:sqref>
        </x14:dataValidation>
        <x14:dataValidation type="list" allowBlank="1" showInputMessage="1" showErrorMessage="1" xr:uid="{5F484600-E9F4-4AB1-BBE7-7D1FF00056E5}">
          <x14:formula1>
            <xm:f>Reference!$AD$3:$AD$4</xm:f>
          </x14:formula1>
          <xm:sqref>D8</xm:sqref>
        </x14:dataValidation>
        <x14:dataValidation type="list" allowBlank="1" showInputMessage="1" showErrorMessage="1" xr:uid="{B44CFA93-50BA-46C2-B6D1-A790A6A0D292}">
          <x14:formula1>
            <xm:f>Reference!$G$3:$G$11</xm:f>
          </x14:formula1>
          <xm:sqref>D7</xm:sqref>
        </x14:dataValidation>
        <x14:dataValidation type="list" allowBlank="1" showInputMessage="1" showErrorMessage="1" xr:uid="{1BC31C6D-4638-4F4B-84E5-A49595A9CEDB}">
          <x14:formula1>
            <xm:f>Reference!$Y$3:$Y$6</xm:f>
          </x14:formula1>
          <xm:sqref>D16:H16</xm:sqref>
        </x14:dataValidation>
        <x14:dataValidation type="list" allowBlank="1" showInputMessage="1" showErrorMessage="1" xr:uid="{2D61452B-7D51-48E1-BA8F-542E0B4E22FB}">
          <x14:formula1>
            <xm:f>Reference!$E$3:$E$37</xm:f>
          </x14:formula1>
          <xm:sqref>D20:H20 D156:H157</xm:sqref>
        </x14:dataValidation>
        <x14:dataValidation type="list" allowBlank="1" showInputMessage="1" showErrorMessage="1" xr:uid="{A2CEA581-DC41-4AD8-9FC4-71C8F72C3909}">
          <x14:formula1>
            <xm:f>Reference!$H$3:$H$5</xm:f>
          </x14:formula1>
          <xm:sqref>D111:H111 D54:H54 D138:H138 D69:H69</xm:sqref>
        </x14:dataValidation>
        <x14:dataValidation type="list" allowBlank="1" showInputMessage="1" showErrorMessage="1" xr:uid="{061A52B0-390D-4ED9-92B8-701EFE4CD6FA}">
          <x14:formula1>
            <xm:f>Reference!$L$3:$L$5</xm:f>
          </x14:formula1>
          <xm:sqref>D127:H127 D39:H39</xm:sqref>
        </x14:dataValidation>
        <x14:dataValidation type="list" allowBlank="1" showInputMessage="1" showErrorMessage="1" xr:uid="{1E3D30EA-FC24-4C98-A7CC-00AE388799D0}">
          <x14:formula1>
            <xm:f>Reference!$W$3:$W$4</xm:f>
          </x14:formula1>
          <xm:sqref>D19:H19</xm:sqref>
        </x14:dataValidation>
        <x14:dataValidation type="list" allowBlank="1" showInputMessage="1" showErrorMessage="1" xr:uid="{D7458A63-276C-41B4-AB2F-32A786CC19B2}">
          <x14:formula1>
            <xm:f>Reference!$N$3:$N$4</xm:f>
          </x14:formula1>
          <xm:sqref>D158:H158</xm:sqref>
        </x14:dataValidation>
        <x14:dataValidation type="list" allowBlank="1" showInputMessage="1" showErrorMessage="1" xr:uid="{76457857-AEF1-4537-A585-FCCF7ABB6D2D}">
          <x14:formula1>
            <xm:f>Reference!$AF$3:$AF$4</xm:f>
          </x14:formula1>
          <xm:sqref>D92:H92</xm:sqref>
        </x14:dataValidation>
        <x14:dataValidation type="list" allowBlank="1" showInputMessage="1" showErrorMessage="1" xr:uid="{285CF35A-B0CA-48F6-8A62-A538A09F0890}">
          <x14:formula1>
            <xm:f>Reference!$AG$3:$AG$4</xm:f>
          </x14:formula1>
          <xm:sqref>D97:H97</xm:sqref>
        </x14:dataValidation>
        <x14:dataValidation type="list" allowBlank="1" showInputMessage="1" showErrorMessage="1" xr:uid="{97B64348-A446-4DD7-8689-299A9B854CF5}">
          <x14:formula1>
            <xm:f>Reference!$AH$3:$AH$5</xm:f>
          </x14:formula1>
          <xm:sqref>D100:H100</xm:sqref>
        </x14:dataValidation>
        <x14:dataValidation type="list" allowBlank="1" showInputMessage="1" showErrorMessage="1" xr:uid="{6A22AAD8-F864-4AAE-8935-F74ABBC45082}">
          <x14:formula1>
            <xm:f>Reference!$AE$3:$AE$5</xm:f>
          </x14:formula1>
          <xm:sqref>D50:H50 D134:H134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C1699-31B7-4616-A2EB-87B4B1D5A2F6}">
  <sheetPr codeName="Sheet11"/>
  <dimension ref="A1"/>
  <sheetViews>
    <sheetView showGridLines="0" workbookViewId="0"/>
  </sheetViews>
  <sheetFormatPr defaultRowHeight="14.25" x14ac:dyDescent="0.25"/>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DC3C8-16DB-4A47-BAFA-EC7256FC667B}">
  <sheetPr codeName="Sheet5">
    <tabColor rgb="FFFFFF00"/>
    <pageSetUpPr fitToPage="1"/>
  </sheetPr>
  <dimension ref="B1:N78"/>
  <sheetViews>
    <sheetView showGridLines="0" zoomScale="80" zoomScaleNormal="80" workbookViewId="0"/>
  </sheetViews>
  <sheetFormatPr defaultColWidth="9" defaultRowHeight="16.5" x14ac:dyDescent="0.3"/>
  <cols>
    <col min="1" max="2" width="1.85546875" style="27" customWidth="1"/>
    <col min="3" max="3" width="63.140625" style="27" customWidth="1"/>
    <col min="4" max="8" width="26.85546875" style="27" customWidth="1"/>
    <col min="9" max="9" width="1.85546875" style="27" customWidth="1"/>
    <col min="10" max="10" width="1.85546875" style="32" customWidth="1"/>
    <col min="11" max="11" width="23.85546875" style="27" customWidth="1"/>
    <col min="12" max="12" width="23" style="27" customWidth="1"/>
    <col min="13" max="14" width="16.28515625" style="27" customWidth="1"/>
    <col min="15" max="15" width="9" style="27"/>
    <col min="16" max="16" width="1" style="27" customWidth="1"/>
    <col min="17" max="16384" width="9" style="27"/>
  </cols>
  <sheetData>
    <row r="1" spans="2:14" s="26" customFormat="1" ht="35.1" customHeight="1" x14ac:dyDescent="0.3">
      <c r="B1" s="373" t="s">
        <v>550</v>
      </c>
      <c r="C1" s="373"/>
      <c r="D1" s="373"/>
      <c r="E1" s="373"/>
      <c r="F1" s="373"/>
      <c r="G1" s="373"/>
      <c r="H1" s="373"/>
      <c r="I1" s="103"/>
      <c r="J1" s="109"/>
    </row>
    <row r="2" spans="2:14" ht="20.100000000000001" customHeight="1" x14ac:dyDescent="0.3">
      <c r="B2" s="103" t="e">
        <f ca="1">MID(CELL("filename",B1),FIND("]",CELL("filename",B1))+1,255)</f>
        <v>#VALUE!</v>
      </c>
      <c r="C2" s="105"/>
      <c r="D2" s="104"/>
      <c r="E2" s="104"/>
      <c r="F2" s="104"/>
      <c r="G2" s="104"/>
      <c r="H2" s="104"/>
      <c r="I2" s="104"/>
      <c r="M2" s="37" t="s">
        <v>521</v>
      </c>
      <c r="N2" s="339">
        <v>43661.59851851852</v>
      </c>
    </row>
    <row r="4" spans="2:14" ht="20.25" x14ac:dyDescent="0.3">
      <c r="B4" s="28"/>
      <c r="C4" s="30" t="s">
        <v>5</v>
      </c>
      <c r="D4" s="29"/>
      <c r="E4" s="28"/>
      <c r="F4" s="28"/>
      <c r="G4" s="28"/>
      <c r="H4" s="28"/>
      <c r="I4" s="28"/>
      <c r="J4" s="33"/>
    </row>
    <row r="5" spans="2:14" ht="20.25" x14ac:dyDescent="0.3">
      <c r="B5" s="28"/>
      <c r="C5" s="30"/>
      <c r="D5" s="29"/>
      <c r="E5" s="28"/>
      <c r="F5" s="28"/>
      <c r="G5" s="28"/>
      <c r="H5" s="28"/>
      <c r="I5" s="28"/>
      <c r="J5" s="33"/>
    </row>
    <row r="6" spans="2:14" x14ac:dyDescent="0.3">
      <c r="B6" s="28"/>
      <c r="C6" s="45" t="s">
        <v>367</v>
      </c>
      <c r="D6" s="29"/>
      <c r="E6" s="28"/>
      <c r="F6" s="28"/>
      <c r="G6" s="28"/>
      <c r="H6" s="28"/>
      <c r="I6" s="28"/>
      <c r="J6" s="33"/>
      <c r="K6" s="301" t="s">
        <v>520</v>
      </c>
    </row>
    <row r="7" spans="2:14" x14ac:dyDescent="0.3">
      <c r="B7" s="28"/>
      <c r="C7" s="44" t="s">
        <v>12</v>
      </c>
      <c r="D7" s="314" t="s">
        <v>13</v>
      </c>
      <c r="E7" s="28"/>
      <c r="F7" s="28"/>
      <c r="G7" s="28"/>
      <c r="H7" s="28"/>
      <c r="I7" s="28"/>
      <c r="J7" s="33"/>
    </row>
    <row r="8" spans="2:14" x14ac:dyDescent="0.3">
      <c r="B8" s="28"/>
      <c r="C8" s="44" t="s">
        <v>524</v>
      </c>
      <c r="D8" s="314" t="s">
        <v>330</v>
      </c>
      <c r="E8" s="28"/>
      <c r="F8" s="28"/>
      <c r="G8" s="28"/>
      <c r="H8" s="28"/>
      <c r="I8" s="28"/>
      <c r="J8" s="33"/>
    </row>
    <row r="9" spans="2:14" x14ac:dyDescent="0.3">
      <c r="B9" s="28"/>
      <c r="C9" s="311" t="s">
        <v>552</v>
      </c>
      <c r="D9" s="29"/>
      <c r="E9" s="28"/>
      <c r="F9" s="28"/>
      <c r="G9" s="28"/>
      <c r="H9" s="28"/>
      <c r="I9" s="28"/>
      <c r="J9" s="33"/>
    </row>
    <row r="10" spans="2:14" x14ac:dyDescent="0.3">
      <c r="B10" s="28"/>
      <c r="C10" s="311" t="s">
        <v>553</v>
      </c>
      <c r="D10" s="29"/>
      <c r="E10" s="28"/>
      <c r="F10" s="28"/>
      <c r="G10" s="28"/>
      <c r="H10" s="28"/>
      <c r="I10" s="28"/>
      <c r="J10" s="33"/>
    </row>
    <row r="11" spans="2:14" x14ac:dyDescent="0.3">
      <c r="B11" s="28"/>
      <c r="C11" s="45" t="s">
        <v>267</v>
      </c>
      <c r="D11" s="29" t="s">
        <v>238</v>
      </c>
      <c r="E11" s="28"/>
      <c r="F11" s="28"/>
      <c r="G11" s="28"/>
      <c r="H11" s="28"/>
      <c r="I11" s="28"/>
      <c r="J11" s="33"/>
    </row>
    <row r="12" spans="2:14" ht="17.25" x14ac:dyDescent="0.3">
      <c r="B12" s="28"/>
      <c r="C12" s="46" t="s">
        <v>127</v>
      </c>
      <c r="D12" s="48" t="s">
        <v>126</v>
      </c>
      <c r="E12" s="48" t="s">
        <v>132</v>
      </c>
      <c r="F12" s="48" t="s">
        <v>133</v>
      </c>
      <c r="G12" s="48" t="s">
        <v>134</v>
      </c>
      <c r="H12" s="48" t="s">
        <v>135</v>
      </c>
      <c r="I12" s="28"/>
      <c r="J12" s="33"/>
    </row>
    <row r="13" spans="2:14" x14ac:dyDescent="0.3">
      <c r="B13" s="28"/>
      <c r="C13" s="47" t="s">
        <v>7</v>
      </c>
      <c r="D13" s="314" t="s">
        <v>187</v>
      </c>
      <c r="E13" s="314" t="s">
        <v>189</v>
      </c>
      <c r="F13" s="314" t="s">
        <v>189</v>
      </c>
      <c r="G13" s="314" t="s">
        <v>188</v>
      </c>
      <c r="H13" s="314"/>
      <c r="I13" s="28"/>
      <c r="J13" s="33"/>
      <c r="K13" s="301" t="s">
        <v>507</v>
      </c>
    </row>
    <row r="14" spans="2:14" ht="17.25" x14ac:dyDescent="0.3">
      <c r="B14" s="28"/>
      <c r="C14" s="47" t="s">
        <v>8</v>
      </c>
      <c r="D14" s="331" t="s">
        <v>220</v>
      </c>
      <c r="E14" s="331" t="s">
        <v>223</v>
      </c>
      <c r="F14" s="331" t="s">
        <v>223</v>
      </c>
      <c r="G14" s="331" t="s">
        <v>221</v>
      </c>
      <c r="H14" s="331"/>
      <c r="I14" s="28"/>
      <c r="J14" s="33"/>
    </row>
    <row r="15" spans="2:14" x14ac:dyDescent="0.3">
      <c r="B15" s="28"/>
      <c r="C15" s="46" t="s">
        <v>128</v>
      </c>
      <c r="D15" s="44"/>
      <c r="E15" s="44"/>
      <c r="F15" s="44"/>
      <c r="G15" s="44"/>
      <c r="H15" s="44"/>
      <c r="I15" s="28"/>
      <c r="J15" s="33"/>
    </row>
    <row r="16" spans="2:14" x14ac:dyDescent="0.3">
      <c r="B16" s="28"/>
      <c r="C16" s="47" t="s">
        <v>129</v>
      </c>
      <c r="D16" s="314" t="s">
        <v>368</v>
      </c>
      <c r="E16" s="314" t="s">
        <v>189</v>
      </c>
      <c r="F16" s="314" t="s">
        <v>368</v>
      </c>
      <c r="G16" s="314" t="s">
        <v>188</v>
      </c>
      <c r="H16" s="314"/>
      <c r="I16" s="28"/>
      <c r="J16" s="33"/>
    </row>
    <row r="17" spans="2:12" x14ac:dyDescent="0.3">
      <c r="B17" s="28"/>
      <c r="C17" s="28"/>
      <c r="D17" s="29"/>
      <c r="E17" s="28"/>
      <c r="F17" s="28"/>
      <c r="G17" s="28"/>
      <c r="H17" s="28"/>
      <c r="I17" s="28"/>
      <c r="J17" s="33"/>
    </row>
    <row r="18" spans="2:12" x14ac:dyDescent="0.3">
      <c r="B18" s="28"/>
      <c r="C18" s="45" t="s">
        <v>278</v>
      </c>
      <c r="D18" s="28"/>
      <c r="E18" s="28"/>
      <c r="F18" s="28"/>
      <c r="G18" s="28"/>
      <c r="H18" s="28"/>
      <c r="I18" s="28"/>
      <c r="J18" s="33"/>
    </row>
    <row r="19" spans="2:12" x14ac:dyDescent="0.3">
      <c r="B19" s="28"/>
      <c r="C19" s="44" t="s">
        <v>212</v>
      </c>
      <c r="D19" s="315" t="s">
        <v>208</v>
      </c>
      <c r="E19" s="315" t="s">
        <v>207</v>
      </c>
      <c r="F19" s="315" t="s">
        <v>1</v>
      </c>
      <c r="G19" s="315" t="s">
        <v>1</v>
      </c>
      <c r="H19" s="315"/>
      <c r="I19" s="28"/>
      <c r="J19" s="294" t="s">
        <v>456</v>
      </c>
    </row>
    <row r="20" spans="2:12" x14ac:dyDescent="0.3">
      <c r="B20" s="28"/>
      <c r="C20" s="44" t="s">
        <v>202</v>
      </c>
      <c r="D20" s="315">
        <v>500</v>
      </c>
      <c r="E20" s="315">
        <v>150</v>
      </c>
      <c r="F20" s="315">
        <v>350</v>
      </c>
      <c r="G20" s="315">
        <v>350</v>
      </c>
      <c r="H20" s="315"/>
      <c r="I20" s="28"/>
      <c r="J20" s="33"/>
      <c r="K20" s="112" t="s">
        <v>156</v>
      </c>
      <c r="L20" s="113"/>
    </row>
    <row r="21" spans="2:12" x14ac:dyDescent="0.3">
      <c r="B21" s="28"/>
      <c r="C21" s="28"/>
      <c r="D21" s="28"/>
      <c r="E21" s="28"/>
      <c r="F21" s="28"/>
      <c r="G21" s="28"/>
      <c r="H21" s="28"/>
      <c r="I21" s="28"/>
      <c r="J21" s="33"/>
      <c r="K21" s="83" t="s">
        <v>283</v>
      </c>
      <c r="L21" s="113"/>
    </row>
    <row r="22" spans="2:12" x14ac:dyDescent="0.3">
      <c r="B22" s="28"/>
      <c r="C22" s="45" t="s">
        <v>270</v>
      </c>
      <c r="D22" s="28"/>
      <c r="E22" s="28"/>
      <c r="F22" s="28"/>
      <c r="G22" s="28"/>
      <c r="H22" s="28"/>
      <c r="I22" s="28"/>
      <c r="J22" s="33"/>
      <c r="K22" s="245" t="s">
        <v>284</v>
      </c>
      <c r="L22" s="113"/>
    </row>
    <row r="23" spans="2:12" x14ac:dyDescent="0.3">
      <c r="B23" s="28"/>
      <c r="C23" s="44" t="s">
        <v>268</v>
      </c>
      <c r="D23" s="316">
        <v>0.8</v>
      </c>
      <c r="E23" s="316">
        <v>0.8</v>
      </c>
      <c r="F23" s="316">
        <v>0.9</v>
      </c>
      <c r="G23" s="316">
        <v>0.9</v>
      </c>
      <c r="H23" s="316"/>
      <c r="I23" s="29"/>
      <c r="J23" s="110"/>
      <c r="K23" s="84" t="s">
        <v>289</v>
      </c>
      <c r="L23" s="113" t="s">
        <v>282</v>
      </c>
    </row>
    <row r="24" spans="2:12" x14ac:dyDescent="0.3">
      <c r="B24" s="28"/>
      <c r="C24" s="44" t="s">
        <v>269</v>
      </c>
      <c r="D24" s="316">
        <v>0</v>
      </c>
      <c r="E24" s="316">
        <v>0</v>
      </c>
      <c r="F24" s="316">
        <v>0.05</v>
      </c>
      <c r="G24" s="316">
        <v>0.1</v>
      </c>
      <c r="H24" s="316"/>
      <c r="I24" s="29"/>
      <c r="J24" s="110"/>
    </row>
    <row r="25" spans="2:12" x14ac:dyDescent="0.3">
      <c r="B25" s="28"/>
      <c r="C25" s="44" t="s">
        <v>318</v>
      </c>
      <c r="D25" s="315">
        <v>12</v>
      </c>
      <c r="E25" s="315">
        <v>12</v>
      </c>
      <c r="F25" s="315">
        <v>12</v>
      </c>
      <c r="G25" s="315">
        <v>12</v>
      </c>
      <c r="H25" s="315"/>
      <c r="I25" s="29"/>
      <c r="J25" s="110"/>
    </row>
    <row r="26" spans="2:12" x14ac:dyDescent="0.3">
      <c r="B26" s="28"/>
      <c r="C26" s="44" t="s">
        <v>319</v>
      </c>
      <c r="D26" s="315">
        <v>5</v>
      </c>
      <c r="E26" s="315">
        <v>7</v>
      </c>
      <c r="F26" s="315">
        <v>5</v>
      </c>
      <c r="G26" s="315">
        <v>7</v>
      </c>
      <c r="H26" s="315"/>
      <c r="I26" s="29"/>
      <c r="J26" s="110"/>
      <c r="K26" s="301" t="s">
        <v>519</v>
      </c>
    </row>
    <row r="27" spans="2:12" x14ac:dyDescent="0.3">
      <c r="B27" s="28"/>
      <c r="C27" s="11" t="s">
        <v>461</v>
      </c>
      <c r="D27" s="315"/>
      <c r="E27" s="315" t="s">
        <v>205</v>
      </c>
      <c r="F27" s="315" t="s">
        <v>205</v>
      </c>
      <c r="G27" s="315" t="s">
        <v>205</v>
      </c>
      <c r="H27" s="315"/>
      <c r="I27" s="28"/>
      <c r="J27" s="33"/>
    </row>
    <row r="28" spans="2:12" x14ac:dyDescent="0.3">
      <c r="B28" s="28"/>
      <c r="C28" s="28"/>
      <c r="D28" s="28"/>
      <c r="E28" s="28"/>
      <c r="F28" s="28"/>
      <c r="G28" s="28"/>
      <c r="H28" s="28"/>
      <c r="I28" s="29"/>
      <c r="J28" s="110"/>
    </row>
    <row r="29" spans="2:12" x14ac:dyDescent="0.3">
      <c r="B29" s="33"/>
      <c r="C29" s="33"/>
      <c r="D29" s="33"/>
      <c r="E29" s="33"/>
      <c r="F29" s="33"/>
      <c r="G29" s="33"/>
      <c r="H29" s="33"/>
      <c r="I29" s="33"/>
      <c r="J29" s="33"/>
    </row>
    <row r="30" spans="2:12" ht="20.25" x14ac:dyDescent="0.3">
      <c r="B30" s="28"/>
      <c r="C30" s="30" t="s">
        <v>379</v>
      </c>
      <c r="D30" s="28"/>
      <c r="E30" s="28"/>
      <c r="F30" s="28"/>
      <c r="G30" s="28"/>
      <c r="H30" s="28"/>
      <c r="I30" s="29"/>
      <c r="J30" s="110"/>
      <c r="K30" s="114" t="s">
        <v>177</v>
      </c>
      <c r="L30" s="113"/>
    </row>
    <row r="31" spans="2:12" x14ac:dyDescent="0.3">
      <c r="B31" s="28"/>
      <c r="C31" s="28"/>
      <c r="D31" s="28"/>
      <c r="E31" s="28"/>
      <c r="F31" s="28"/>
      <c r="G31" s="28"/>
      <c r="H31" s="28"/>
      <c r="I31" s="29"/>
      <c r="J31" s="110"/>
      <c r="K31" s="115" t="s">
        <v>10</v>
      </c>
      <c r="L31" s="115" t="s">
        <v>174</v>
      </c>
    </row>
    <row r="32" spans="2:12" x14ac:dyDescent="0.3">
      <c r="B32" s="28"/>
      <c r="C32" s="45" t="s">
        <v>239</v>
      </c>
      <c r="D32" s="34" t="s">
        <v>388</v>
      </c>
      <c r="E32" s="35"/>
      <c r="F32" s="35"/>
      <c r="G32" s="35"/>
      <c r="H32" s="35"/>
      <c r="I32" s="28"/>
      <c r="J32" s="33"/>
      <c r="K32" s="116" t="s">
        <v>184</v>
      </c>
      <c r="L32" s="116" t="s">
        <v>166</v>
      </c>
    </row>
    <row r="33" spans="2:12" x14ac:dyDescent="0.3">
      <c r="B33" s="28"/>
      <c r="C33" s="116" t="s">
        <v>185</v>
      </c>
      <c r="D33" s="332" t="s">
        <v>279</v>
      </c>
      <c r="E33" s="332" t="s">
        <v>279</v>
      </c>
      <c r="F33" s="332" t="s">
        <v>182</v>
      </c>
      <c r="G33" s="332" t="s">
        <v>182</v>
      </c>
      <c r="H33" s="332"/>
      <c r="I33" s="36"/>
      <c r="J33" s="111"/>
      <c r="K33" s="116" t="s">
        <v>178</v>
      </c>
      <c r="L33" s="116"/>
    </row>
    <row r="34" spans="2:12" x14ac:dyDescent="0.3">
      <c r="B34" s="28"/>
      <c r="C34" s="123" t="s">
        <v>389</v>
      </c>
      <c r="D34" s="333">
        <v>0</v>
      </c>
      <c r="E34" s="333"/>
      <c r="F34" s="333">
        <v>7</v>
      </c>
      <c r="G34" s="333">
        <v>7</v>
      </c>
      <c r="H34" s="333"/>
      <c r="I34" s="36"/>
      <c r="J34" s="111"/>
      <c r="K34" s="116" t="s">
        <v>179</v>
      </c>
      <c r="L34" s="116"/>
    </row>
    <row r="35" spans="2:12" x14ac:dyDescent="0.3">
      <c r="B35" s="28"/>
      <c r="C35" s="49" t="s">
        <v>186</v>
      </c>
      <c r="D35" s="332" t="s">
        <v>279</v>
      </c>
      <c r="E35" s="332" t="s">
        <v>166</v>
      </c>
      <c r="F35" s="332" t="s">
        <v>166</v>
      </c>
      <c r="G35" s="332" t="s">
        <v>279</v>
      </c>
      <c r="H35" s="332"/>
      <c r="I35" s="28"/>
      <c r="J35" s="33"/>
      <c r="K35" s="116" t="s">
        <v>180</v>
      </c>
      <c r="L35" s="116"/>
    </row>
    <row r="36" spans="2:12" x14ac:dyDescent="0.3">
      <c r="B36" s="28"/>
      <c r="C36" s="50" t="s">
        <v>334</v>
      </c>
      <c r="D36" s="333">
        <v>10</v>
      </c>
      <c r="E36" s="333">
        <v>10</v>
      </c>
      <c r="F36" s="333">
        <v>10</v>
      </c>
      <c r="G36" s="333"/>
      <c r="H36" s="333"/>
      <c r="I36" s="36"/>
      <c r="J36" s="111"/>
      <c r="K36" s="116" t="s">
        <v>181</v>
      </c>
      <c r="L36" s="116"/>
    </row>
    <row r="37" spans="2:12" x14ac:dyDescent="0.3">
      <c r="B37" s="28"/>
      <c r="C37" s="106" t="s">
        <v>249</v>
      </c>
      <c r="D37" s="107" t="str">
        <f>IF(D33&lt;&gt;"",IF(D16=Reference!$T$5,IF(ISNUMBER(MATCH(D35,Server_based,0)),Reference!$AB$3,Reference!$AB$4),IF(ISNUMBER(MATCH(D33,Client_based,0)),Reference!$AB$3,Reference!$AB$4)),"")</f>
        <v>Requires add'l licensing</v>
      </c>
      <c r="E37" s="107" t="str">
        <f>IF(E33&lt;&gt;"",IF(E16=Reference!$T$5,IF(ISNUMBER(MATCH(E35,Server_based,0)),Reference!$AB$3,Reference!$AB$4),IF(ISNUMBER(MATCH(E33,Client_based,0)),Reference!$AB$3,Reference!$AB$4)),"")</f>
        <v>Qualifies for WVD Rights</v>
      </c>
      <c r="F37" s="107" t="str">
        <f>IF(F33&lt;&gt;"",IF(F16=Reference!$T$5,IF(ISNUMBER(MATCH(F35,Server_based,0)),Reference!$AB$3,Reference!$AB$4),IF(ISNUMBER(MATCH(F33,Client_based,0)),Reference!$AB$3,Reference!$AB$4)),"")</f>
        <v>Qualifies for WVD Rights</v>
      </c>
      <c r="G37" s="107" t="str">
        <f>IF(G33&lt;&gt;"",IF(G16=Reference!$T$5,IF(ISNUMBER(MATCH(G35,Server_based,0)),Reference!$AB$3,Reference!$AB$4),IF(ISNUMBER(MATCH(G33,Client_based,0)),Reference!$AB$3,Reference!$AB$4)),"")</f>
        <v>Qualifies for WVD Rights</v>
      </c>
      <c r="H37" s="107" t="str">
        <f>IF(H33&lt;&gt;"",IF(H16=Reference!$T$5,IF(ISNUMBER(MATCH(H35,Server_based,0)),Reference!$AB$3,Reference!$AB$4),IF(ISNUMBER(MATCH(H33,Client_based,0)),Reference!$AB$3,Reference!$AB$4)),"")</f>
        <v/>
      </c>
      <c r="I37" s="36"/>
      <c r="J37" s="111"/>
      <c r="K37" s="116" t="s">
        <v>182</v>
      </c>
      <c r="L37" s="116"/>
    </row>
    <row r="38" spans="2:12" x14ac:dyDescent="0.3">
      <c r="B38" s="28"/>
      <c r="C38" s="28"/>
      <c r="D38" s="38"/>
      <c r="E38" s="28"/>
      <c r="F38" s="28"/>
      <c r="G38" s="28"/>
      <c r="H38" s="28"/>
      <c r="I38" s="28"/>
      <c r="J38" s="33"/>
      <c r="K38" s="116" t="s">
        <v>183</v>
      </c>
      <c r="L38" s="116"/>
    </row>
    <row r="39" spans="2:12" x14ac:dyDescent="0.3">
      <c r="B39" s="28"/>
      <c r="C39" s="45" t="s">
        <v>556</v>
      </c>
      <c r="D39" s="34" t="s">
        <v>592</v>
      </c>
      <c r="E39" s="28"/>
      <c r="F39" s="28"/>
      <c r="G39" s="28"/>
      <c r="H39" s="28"/>
      <c r="I39" s="28"/>
      <c r="J39" s="33"/>
    </row>
    <row r="40" spans="2:12" x14ac:dyDescent="0.3">
      <c r="B40" s="28"/>
      <c r="C40" s="49" t="s">
        <v>342</v>
      </c>
      <c r="D40" s="334">
        <v>500</v>
      </c>
      <c r="E40" s="334">
        <v>1000</v>
      </c>
      <c r="F40" s="334">
        <v>1000</v>
      </c>
      <c r="G40" s="334"/>
      <c r="H40" s="334"/>
      <c r="I40" s="36"/>
      <c r="J40" s="111"/>
    </row>
    <row r="41" spans="2:12" x14ac:dyDescent="0.3">
      <c r="B41" s="28"/>
      <c r="C41" s="28"/>
      <c r="D41" s="28"/>
      <c r="E41" s="28"/>
      <c r="F41" s="28"/>
      <c r="G41" s="28"/>
      <c r="H41" s="28"/>
      <c r="I41" s="28"/>
      <c r="J41" s="33"/>
    </row>
    <row r="42" spans="2:12" x14ac:dyDescent="0.3">
      <c r="B42" s="28"/>
      <c r="C42" s="45" t="s">
        <v>585</v>
      </c>
      <c r="D42" s="29" t="s">
        <v>591</v>
      </c>
      <c r="E42" s="28"/>
      <c r="F42" s="28"/>
      <c r="G42" s="28"/>
      <c r="H42" s="28"/>
      <c r="I42" s="28"/>
      <c r="J42" s="33"/>
    </row>
    <row r="43" spans="2:12" x14ac:dyDescent="0.3">
      <c r="B43" s="28"/>
      <c r="C43" s="49" t="s">
        <v>342</v>
      </c>
      <c r="D43" s="334">
        <v>0</v>
      </c>
      <c r="E43" s="334">
        <v>0</v>
      </c>
      <c r="F43" s="334">
        <v>0</v>
      </c>
      <c r="G43" s="334">
        <v>0</v>
      </c>
      <c r="H43" s="334"/>
      <c r="I43" s="28"/>
      <c r="J43" s="33"/>
    </row>
    <row r="44" spans="2:12" x14ac:dyDescent="0.3">
      <c r="B44" s="28"/>
      <c r="C44" s="28"/>
      <c r="D44" s="28"/>
      <c r="E44" s="28"/>
      <c r="F44" s="28"/>
      <c r="G44" s="28"/>
      <c r="H44" s="28"/>
      <c r="I44" s="28"/>
      <c r="J44" s="33"/>
    </row>
    <row r="45" spans="2:12" x14ac:dyDescent="0.3">
      <c r="B45" s="33"/>
      <c r="C45" s="33"/>
      <c r="D45" s="33"/>
      <c r="E45" s="33"/>
      <c r="F45" s="33"/>
      <c r="G45" s="33"/>
      <c r="H45" s="33"/>
      <c r="I45" s="33"/>
      <c r="J45" s="33"/>
    </row>
    <row r="46" spans="2:12" ht="20.25" x14ac:dyDescent="0.3">
      <c r="B46" s="28"/>
      <c r="C46" s="30" t="s">
        <v>381</v>
      </c>
      <c r="D46" s="28"/>
      <c r="E46" s="28"/>
      <c r="F46" s="28"/>
      <c r="G46" s="28"/>
      <c r="H46" s="28"/>
      <c r="I46" s="28"/>
      <c r="J46" s="33"/>
    </row>
    <row r="47" spans="2:12" x14ac:dyDescent="0.3">
      <c r="B47" s="28"/>
      <c r="C47" s="28"/>
      <c r="D47" s="28"/>
      <c r="E47" s="28"/>
      <c r="F47" s="28"/>
      <c r="G47" s="28"/>
      <c r="H47" s="28"/>
      <c r="I47" s="28"/>
      <c r="J47" s="33"/>
    </row>
    <row r="48" spans="2:12" x14ac:dyDescent="0.3">
      <c r="B48" s="28"/>
      <c r="C48" s="124" t="s">
        <v>385</v>
      </c>
      <c r="D48" s="28"/>
      <c r="E48" s="28"/>
      <c r="F48" s="28"/>
      <c r="G48" s="28"/>
      <c r="H48" s="28"/>
      <c r="I48" s="28"/>
      <c r="J48" s="33"/>
    </row>
    <row r="49" spans="2:10" x14ac:dyDescent="0.3">
      <c r="B49" s="28"/>
      <c r="C49" s="226" t="s">
        <v>339</v>
      </c>
      <c r="D49" s="335">
        <v>0</v>
      </c>
      <c r="E49" s="335">
        <v>0</v>
      </c>
      <c r="F49" s="336">
        <v>0</v>
      </c>
      <c r="G49" s="333">
        <v>5000</v>
      </c>
      <c r="H49" s="333"/>
      <c r="I49" s="28"/>
      <c r="J49" s="33"/>
    </row>
    <row r="50" spans="2:10" x14ac:dyDescent="0.3">
      <c r="B50" s="28"/>
      <c r="C50" s="226" t="s">
        <v>340</v>
      </c>
      <c r="D50" s="335">
        <v>0</v>
      </c>
      <c r="E50" s="335">
        <v>0</v>
      </c>
      <c r="F50" s="336">
        <v>0</v>
      </c>
      <c r="G50" s="333">
        <v>0</v>
      </c>
      <c r="H50" s="333"/>
      <c r="I50" s="28"/>
      <c r="J50" s="33"/>
    </row>
    <row r="51" spans="2:10" x14ac:dyDescent="0.3">
      <c r="B51" s="28"/>
      <c r="C51" s="226" t="s">
        <v>382</v>
      </c>
      <c r="D51" s="335">
        <v>0</v>
      </c>
      <c r="E51" s="335">
        <v>0</v>
      </c>
      <c r="F51" s="336">
        <v>0</v>
      </c>
      <c r="G51" s="333">
        <v>0</v>
      </c>
      <c r="H51" s="333"/>
      <c r="I51" s="28"/>
      <c r="J51" s="33"/>
    </row>
    <row r="52" spans="2:10" x14ac:dyDescent="0.3">
      <c r="B52" s="28"/>
      <c r="C52" s="227" t="s">
        <v>341</v>
      </c>
      <c r="D52" s="262">
        <f>IF(D20&lt;&gt;"",SUM(D49:D51),"")</f>
        <v>0</v>
      </c>
      <c r="E52" s="262">
        <f>IF(E20&lt;&gt;"",SUM(E49:E51),"")</f>
        <v>0</v>
      </c>
      <c r="F52" s="263">
        <f>IF(F20&lt;&gt;"",SUM(F49:F51),"")</f>
        <v>0</v>
      </c>
      <c r="G52" s="264">
        <f>IF(G20&lt;&gt;"",SUM(G49:G51),"")</f>
        <v>5000</v>
      </c>
      <c r="H52" s="264" t="str">
        <f>IF(H20&lt;&gt;"",SUM(H49:H51),"")</f>
        <v/>
      </c>
      <c r="I52" s="36"/>
      <c r="J52" s="111"/>
    </row>
    <row r="53" spans="2:10" x14ac:dyDescent="0.3">
      <c r="B53" s="28"/>
      <c r="C53" s="28"/>
      <c r="D53" s="28"/>
      <c r="E53" s="28"/>
      <c r="F53" s="28"/>
      <c r="G53" s="28"/>
      <c r="H53" s="28"/>
      <c r="I53" s="28"/>
      <c r="J53" s="33"/>
    </row>
    <row r="54" spans="2:10" x14ac:dyDescent="0.3">
      <c r="B54" s="33"/>
      <c r="C54" s="33"/>
      <c r="D54" s="33"/>
      <c r="E54" s="33"/>
      <c r="F54" s="33"/>
      <c r="G54" s="33"/>
      <c r="H54" s="33"/>
      <c r="I54" s="33"/>
      <c r="J54" s="33"/>
    </row>
    <row r="55" spans="2:10" ht="20.25" x14ac:dyDescent="0.3">
      <c r="B55" s="28"/>
      <c r="C55" s="30" t="s">
        <v>275</v>
      </c>
      <c r="D55" s="28"/>
      <c r="E55" s="28"/>
      <c r="F55" s="28"/>
      <c r="G55" s="28"/>
      <c r="H55" s="28"/>
      <c r="I55" s="28"/>
      <c r="J55" s="33"/>
    </row>
    <row r="56" spans="2:10" x14ac:dyDescent="0.3">
      <c r="B56" s="28"/>
      <c r="C56" s="28"/>
      <c r="D56" s="28"/>
      <c r="E56" s="28"/>
      <c r="F56" s="28"/>
      <c r="G56" s="28"/>
      <c r="H56" s="28"/>
      <c r="I56" s="28"/>
      <c r="J56" s="33"/>
    </row>
    <row r="57" spans="2:10" x14ac:dyDescent="0.3">
      <c r="B57" s="28"/>
      <c r="C57" s="45" t="s">
        <v>275</v>
      </c>
      <c r="D57" s="28"/>
      <c r="E57" s="28"/>
      <c r="F57" s="28"/>
      <c r="G57" s="28"/>
      <c r="H57" s="28"/>
      <c r="I57" s="28"/>
      <c r="J57" s="33"/>
    </row>
    <row r="58" spans="2:10" x14ac:dyDescent="0.3">
      <c r="B58" s="28"/>
      <c r="C58" s="50" t="s">
        <v>446</v>
      </c>
      <c r="D58" s="337"/>
      <c r="E58" s="337"/>
      <c r="F58" s="337"/>
      <c r="G58" s="337"/>
      <c r="H58" s="337"/>
      <c r="I58" s="28"/>
      <c r="J58" s="33"/>
    </row>
    <row r="59" spans="2:10" x14ac:dyDescent="0.3">
      <c r="B59" s="28"/>
      <c r="C59" s="50" t="s">
        <v>3</v>
      </c>
      <c r="D59" s="337"/>
      <c r="E59" s="337"/>
      <c r="F59" s="337"/>
      <c r="G59" s="337"/>
      <c r="H59" s="337"/>
      <c r="I59" s="28"/>
      <c r="J59" s="33"/>
    </row>
    <row r="60" spans="2:10" x14ac:dyDescent="0.3">
      <c r="B60" s="28"/>
      <c r="C60" s="50" t="s">
        <v>225</v>
      </c>
      <c r="D60" s="337"/>
      <c r="E60" s="337"/>
      <c r="F60" s="337"/>
      <c r="G60" s="337"/>
      <c r="H60" s="337"/>
      <c r="I60" s="28"/>
      <c r="J60" s="33"/>
    </row>
    <row r="61" spans="2:10" x14ac:dyDescent="0.3">
      <c r="B61" s="28"/>
      <c r="C61" s="50" t="s">
        <v>462</v>
      </c>
      <c r="D61" s="337"/>
      <c r="E61" s="337"/>
      <c r="F61" s="337"/>
      <c r="G61" s="337"/>
      <c r="H61" s="337"/>
      <c r="I61" s="28"/>
      <c r="J61" s="33"/>
    </row>
    <row r="62" spans="2:10" x14ac:dyDescent="0.3">
      <c r="B62" s="28"/>
      <c r="C62" s="357" t="s">
        <v>544</v>
      </c>
      <c r="D62" s="337"/>
      <c r="E62" s="337"/>
      <c r="F62" s="337"/>
      <c r="G62" s="337"/>
      <c r="H62" s="337"/>
      <c r="I62" s="28"/>
      <c r="J62" s="33"/>
    </row>
    <row r="63" spans="2:10" x14ac:dyDescent="0.3">
      <c r="B63" s="28"/>
      <c r="C63" s="283" t="s">
        <v>464</v>
      </c>
      <c r="D63" s="286" t="str">
        <f>IF(OR(D58&lt;&gt;"",D59&lt;&gt;"",D60&lt;&gt;"",D61&lt;&gt;"",D62&lt;&gt;""),SUM(D58:D62),"")</f>
        <v/>
      </c>
      <c r="E63" s="286" t="str">
        <f t="shared" ref="E63:H63" si="0">IF(OR(E58&lt;&gt;"",E59&lt;&gt;"",E60&lt;&gt;"",E61&lt;&gt;"",E62&lt;&gt;""),SUM(E58:E62),"")</f>
        <v/>
      </c>
      <c r="F63" s="286" t="str">
        <f t="shared" si="0"/>
        <v/>
      </c>
      <c r="G63" s="286" t="str">
        <f t="shared" si="0"/>
        <v/>
      </c>
      <c r="H63" s="286" t="str">
        <f t="shared" si="0"/>
        <v/>
      </c>
      <c r="I63" s="28"/>
      <c r="J63" s="33"/>
    </row>
    <row r="64" spans="2:10" x14ac:dyDescent="0.3">
      <c r="B64" s="28"/>
      <c r="C64" s="284" t="s">
        <v>463</v>
      </c>
      <c r="D64" s="338">
        <v>5</v>
      </c>
      <c r="E64" s="338">
        <v>5</v>
      </c>
      <c r="F64" s="338">
        <v>5</v>
      </c>
      <c r="G64" s="338">
        <v>5</v>
      </c>
      <c r="H64" s="338"/>
      <c r="I64" s="28"/>
      <c r="J64" s="33"/>
    </row>
    <row r="65" spans="2:10" x14ac:dyDescent="0.3">
      <c r="B65" s="28"/>
      <c r="C65" s="285" t="s">
        <v>465</v>
      </c>
      <c r="D65" s="287" t="str">
        <f>IF(D63&lt;&gt;"",IF(D64&gt;0,D63/D64/12,0),"")</f>
        <v/>
      </c>
      <c r="E65" s="287" t="str">
        <f t="shared" ref="E65:H65" si="1">IF(E63&lt;&gt;"",IF(E64&gt;0,E63/E64/12,0),"")</f>
        <v/>
      </c>
      <c r="F65" s="287" t="str">
        <f t="shared" si="1"/>
        <v/>
      </c>
      <c r="G65" s="287" t="str">
        <f t="shared" si="1"/>
        <v/>
      </c>
      <c r="H65" s="287" t="str">
        <f t="shared" si="1"/>
        <v/>
      </c>
      <c r="I65" s="28"/>
      <c r="J65" s="33"/>
    </row>
    <row r="66" spans="2:10" x14ac:dyDescent="0.3">
      <c r="B66" s="28"/>
      <c r="C66" s="28"/>
      <c r="D66" s="28"/>
      <c r="E66" s="28"/>
      <c r="F66" s="28"/>
      <c r="G66" s="28"/>
      <c r="H66" s="28"/>
      <c r="I66" s="28"/>
      <c r="J66" s="33"/>
    </row>
    <row r="67" spans="2:10" x14ac:dyDescent="0.3">
      <c r="B67" s="33"/>
      <c r="C67" s="33"/>
      <c r="D67" s="33"/>
      <c r="E67" s="33"/>
      <c r="F67" s="33"/>
      <c r="G67" s="33"/>
      <c r="H67" s="33"/>
      <c r="I67" s="33"/>
      <c r="J67" s="33"/>
    </row>
    <row r="68" spans="2:10" ht="20.25" x14ac:dyDescent="0.3">
      <c r="B68" s="28"/>
      <c r="C68" s="30" t="s">
        <v>280</v>
      </c>
      <c r="D68" s="28"/>
      <c r="E68" s="28"/>
      <c r="F68" s="28"/>
      <c r="G68" s="28"/>
      <c r="H68" s="28"/>
      <c r="I68" s="28"/>
      <c r="J68" s="33"/>
    </row>
    <row r="69" spans="2:10" x14ac:dyDescent="0.3">
      <c r="B69" s="28"/>
      <c r="C69" s="28"/>
      <c r="D69" s="28"/>
      <c r="E69" s="28"/>
      <c r="F69" s="28"/>
      <c r="G69" s="28"/>
      <c r="H69" s="28"/>
      <c r="I69" s="28"/>
      <c r="J69" s="33"/>
    </row>
    <row r="70" spans="2:10" x14ac:dyDescent="0.3">
      <c r="B70" s="28"/>
      <c r="C70" s="108" t="s">
        <v>280</v>
      </c>
      <c r="D70" s="28"/>
      <c r="E70" s="28"/>
      <c r="F70" s="28"/>
      <c r="G70" s="28"/>
      <c r="H70" s="28"/>
      <c r="I70" s="28"/>
      <c r="J70" s="33"/>
    </row>
    <row r="71" spans="2:10" x14ac:dyDescent="0.3">
      <c r="B71" s="28"/>
      <c r="C71" s="50" t="s">
        <v>383</v>
      </c>
      <c r="D71" s="337"/>
      <c r="E71" s="337"/>
      <c r="F71" s="337"/>
      <c r="G71" s="337"/>
      <c r="H71" s="337"/>
      <c r="I71" s="28"/>
      <c r="J71" s="33"/>
    </row>
    <row r="72" spans="2:10" x14ac:dyDescent="0.3">
      <c r="B72" s="28"/>
      <c r="C72" s="28"/>
      <c r="D72" s="28"/>
      <c r="E72" s="28"/>
      <c r="F72" s="28"/>
      <c r="G72" s="28"/>
      <c r="H72" s="28"/>
      <c r="I72" s="28"/>
      <c r="J72" s="33"/>
    </row>
    <row r="73" spans="2:10" x14ac:dyDescent="0.3">
      <c r="B73" s="33"/>
      <c r="C73" s="33"/>
      <c r="D73" s="33"/>
      <c r="E73" s="33"/>
      <c r="F73" s="33"/>
      <c r="G73" s="33"/>
      <c r="H73" s="33"/>
      <c r="I73" s="33"/>
      <c r="J73" s="33"/>
    </row>
    <row r="74" spans="2:10" ht="20.25" x14ac:dyDescent="0.3">
      <c r="B74" s="28"/>
      <c r="C74" s="30" t="s">
        <v>380</v>
      </c>
      <c r="D74" s="28"/>
      <c r="E74" s="28"/>
      <c r="F74" s="28"/>
      <c r="G74" s="28"/>
      <c r="H74" s="28"/>
      <c r="I74" s="28"/>
      <c r="J74" s="33"/>
    </row>
    <row r="75" spans="2:10" x14ac:dyDescent="0.3">
      <c r="B75" s="28"/>
      <c r="C75" s="28"/>
      <c r="D75" s="28"/>
      <c r="E75" s="28"/>
      <c r="F75" s="28"/>
      <c r="G75" s="28"/>
      <c r="H75" s="28"/>
      <c r="I75" s="28"/>
      <c r="J75" s="33"/>
    </row>
    <row r="76" spans="2:10" x14ac:dyDescent="0.3">
      <c r="B76" s="28"/>
      <c r="C76" s="108" t="s">
        <v>380</v>
      </c>
      <c r="D76" s="28"/>
      <c r="E76" s="28"/>
      <c r="F76" s="28"/>
      <c r="G76" s="28"/>
      <c r="H76" s="28"/>
      <c r="I76" s="28"/>
      <c r="J76" s="33"/>
    </row>
    <row r="77" spans="2:10" x14ac:dyDescent="0.3">
      <c r="B77" s="28"/>
      <c r="C77" s="50" t="s">
        <v>384</v>
      </c>
      <c r="D77" s="337"/>
      <c r="E77" s="337"/>
      <c r="F77" s="337"/>
      <c r="G77" s="337"/>
      <c r="H77" s="337"/>
      <c r="I77" s="28"/>
      <c r="J77" s="33"/>
    </row>
    <row r="78" spans="2:10" x14ac:dyDescent="0.3">
      <c r="B78" s="28"/>
      <c r="C78" s="28"/>
      <c r="D78" s="28"/>
      <c r="E78" s="28"/>
      <c r="F78" s="28"/>
      <c r="G78" s="28"/>
      <c r="H78" s="28"/>
      <c r="I78" s="28"/>
      <c r="J78" s="33"/>
    </row>
  </sheetData>
  <sheetProtection sheet="1" formatCells="0" formatColumns="0" formatRows="0"/>
  <mergeCells count="1">
    <mergeCell ref="B1:H1"/>
  </mergeCells>
  <dataValidations count="2">
    <dataValidation type="decimal" operator="greaterThanOrEqual" allowBlank="1" showInputMessage="1" showErrorMessage="1" error="Please input 0 or positive value." sqref="D49:H52 D36:H36 D71:H71 D77:H77 D34:H34 D58:H64" xr:uid="{AE47A057-F817-4EC5-A349-3AAFEC7691EC}">
      <formula1>0</formula1>
    </dataValidation>
    <dataValidation operator="greaterThanOrEqual" allowBlank="1" showInputMessage="1" showErrorMessage="1" error="Please input 0 or positive value." sqref="D37:H37 D65:H65" xr:uid="{7EFD95E4-5940-4098-8787-53EC538145C0}"/>
  </dataValidations>
  <pageMargins left="0.7" right="0.7" top="0.75" bottom="0.75" header="0.3" footer="0.3"/>
  <pageSetup scale="4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64" r:id="rId4" name="User Group 1">
              <controlPr defaultSize="0" autoFill="0" autoLine="0" autoPict="0">
                <anchor moveWithCells="1">
                  <from>
                    <xdr:col>13</xdr:col>
                    <xdr:colOff>581025</xdr:colOff>
                    <xdr:row>6</xdr:row>
                    <xdr:rowOff>95250</xdr:rowOff>
                  </from>
                  <to>
                    <xdr:col>14</xdr:col>
                    <xdr:colOff>523875</xdr:colOff>
                    <xdr:row>8</xdr:row>
                    <xdr:rowOff>57150</xdr:rowOff>
                  </to>
                </anchor>
              </controlPr>
            </control>
          </mc:Choice>
        </mc:AlternateContent>
        <mc:AlternateContent xmlns:mc="http://schemas.openxmlformats.org/markup-compatibility/2006">
          <mc:Choice Requires="x14">
            <control shapeId="3165" r:id="rId5" name="User Group 2">
              <controlPr defaultSize="0" autoFill="0" autoLine="0" autoPict="0">
                <anchor moveWithCells="1">
                  <from>
                    <xdr:col>15</xdr:col>
                    <xdr:colOff>552450</xdr:colOff>
                    <xdr:row>6</xdr:row>
                    <xdr:rowOff>95250</xdr:rowOff>
                  </from>
                  <to>
                    <xdr:col>17</xdr:col>
                    <xdr:colOff>476250</xdr:colOff>
                    <xdr:row>8</xdr:row>
                    <xdr:rowOff>57150</xdr:rowOff>
                  </to>
                </anchor>
              </controlPr>
            </control>
          </mc:Choice>
        </mc:AlternateContent>
        <mc:AlternateContent xmlns:mc="http://schemas.openxmlformats.org/markup-compatibility/2006">
          <mc:Choice Requires="x14">
            <control shapeId="3166" r:id="rId6" name="User Group 4">
              <controlPr defaultSize="0" autoFill="0" autoLine="0" autoPict="0">
                <anchor moveWithCells="1">
                  <from>
                    <xdr:col>13</xdr:col>
                    <xdr:colOff>581025</xdr:colOff>
                    <xdr:row>8</xdr:row>
                    <xdr:rowOff>190500</xdr:rowOff>
                  </from>
                  <to>
                    <xdr:col>14</xdr:col>
                    <xdr:colOff>523875</xdr:colOff>
                    <xdr:row>10</xdr:row>
                    <xdr:rowOff>142875</xdr:rowOff>
                  </to>
                </anchor>
              </controlPr>
            </control>
          </mc:Choice>
        </mc:AlternateContent>
        <mc:AlternateContent xmlns:mc="http://schemas.openxmlformats.org/markup-compatibility/2006">
          <mc:Choice Requires="x14">
            <control shapeId="3167" r:id="rId7" name="User Group 5">
              <controlPr defaultSize="0" autoFill="0" autoLine="0" autoPict="0">
                <anchor moveWithCells="1">
                  <from>
                    <xdr:col>15</xdr:col>
                    <xdr:colOff>552450</xdr:colOff>
                    <xdr:row>8</xdr:row>
                    <xdr:rowOff>200025</xdr:rowOff>
                  </from>
                  <to>
                    <xdr:col>17</xdr:col>
                    <xdr:colOff>476250</xdr:colOff>
                    <xdr:row>10</xdr:row>
                    <xdr:rowOff>142875</xdr:rowOff>
                  </to>
                </anchor>
              </controlPr>
            </control>
          </mc:Choice>
        </mc:AlternateContent>
        <mc:AlternateContent xmlns:mc="http://schemas.openxmlformats.org/markup-compatibility/2006">
          <mc:Choice Requires="x14">
            <control shapeId="3168" r:id="rId8" name="User Group 3">
              <controlPr defaultSize="0" autoFill="0" autoLine="0" autoPict="0">
                <anchor moveWithCells="1">
                  <from>
                    <xdr:col>18</xdr:col>
                    <xdr:colOff>0</xdr:colOff>
                    <xdr:row>6</xdr:row>
                    <xdr:rowOff>95250</xdr:rowOff>
                  </from>
                  <to>
                    <xdr:col>19</xdr:col>
                    <xdr:colOff>476250</xdr:colOff>
                    <xdr:row>8</xdr:row>
                    <xdr:rowOff>57150</xdr:rowOff>
                  </to>
                </anchor>
              </controlPr>
            </control>
          </mc:Choice>
        </mc:AlternateContent>
        <mc:AlternateContent xmlns:mc="http://schemas.openxmlformats.org/markup-compatibility/2006">
          <mc:Choice Requires="x14">
            <control shapeId="3169" r:id="rId9" name="Select All">
              <controlPr defaultSize="0" autoFill="0" autoLine="0" autoPict="0" macro="[0]!SelectAll_Click">
                <anchor moveWithCells="1">
                  <from>
                    <xdr:col>12</xdr:col>
                    <xdr:colOff>257175</xdr:colOff>
                    <xdr:row>7</xdr:row>
                    <xdr:rowOff>114300</xdr:rowOff>
                  </from>
                  <to>
                    <xdr:col>13</xdr:col>
                    <xdr:colOff>200025</xdr:colOff>
                    <xdr:row>9</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B0FC39CD-CF62-4728-A857-6ED723EB9A14}">
            <xm:f>Currency=Reference!$G$11</xm:f>
            <x14:dxf>
              <numFmt numFmtId="177" formatCode="[$DKK]\ #,##0.00_);[Red]\([$DKK]\ #,##0.00\)"/>
            </x14:dxf>
          </x14:cfRule>
          <x14:cfRule type="expression" priority="18" id="{EBB11C05-ECB1-442B-A91B-749DA71EA051}">
            <xm:f>Currency=Reference!$G$10</xm:f>
            <x14:dxf>
              <numFmt numFmtId="176" formatCode="[$JPY]\ #,##0.00_);[Red]\([$JPY]\ #,##0.00\)"/>
            </x14:dxf>
          </x14:cfRule>
          <x14:cfRule type="expression" priority="19" id="{3C1885C6-5869-4D8A-A5AF-1541AC04017F}">
            <xm:f>Currency=Reference!$G$9</xm:f>
            <x14:dxf>
              <numFmt numFmtId="175" formatCode="[$CAD]\ #,##0.00_);[Red]\([$CAD]\ #,##0.00\)"/>
            </x14:dxf>
          </x14:cfRule>
          <x14:cfRule type="expression" priority="20" id="{8802D43C-6C64-47AF-8584-A8AC09C3CA80}">
            <xm:f>Currency=Reference!$G$8</xm:f>
            <x14:dxf>
              <numFmt numFmtId="174" formatCode="[$HKD]\ #,##0.00_);[Red]\([$HKD]\ #,##0.00\)"/>
            </x14:dxf>
          </x14:cfRule>
          <x14:cfRule type="expression" priority="21" id="{AD971557-88A6-4767-8FD2-A552014EAB7F}">
            <xm:f>Currency=Reference!$G$5</xm:f>
            <x14:dxf>
              <numFmt numFmtId="172" formatCode="[$EUR]\ #,##0.00_);[Red]\([$EUR]\ #,##0.00\)"/>
            </x14:dxf>
          </x14:cfRule>
          <x14:cfRule type="expression" priority="22" id="{3FB53B9F-FA47-40DE-9FFE-5957D566B36C}">
            <xm:f>Currency=Reference!$G$4</xm:f>
            <x14:dxf>
              <numFmt numFmtId="171" formatCode="[$AUD]\ #,##0.00_);[Red]\([$AUD]\ #,##0.00\)"/>
            </x14:dxf>
          </x14:cfRule>
          <x14:cfRule type="expression" priority="23" id="{CD2C683E-0D43-4F14-A02E-0F457CFBA453}">
            <xm:f>Currency=Reference!$G$3</xm:f>
            <x14:dxf>
              <numFmt numFmtId="170" formatCode="[$NZD]\ #,##0.00_);[Red]\([$NZD]\ #,##0.00\)"/>
            </x14:dxf>
          </x14:cfRule>
          <x14:cfRule type="expression" priority="24" id="{CC9DD7ED-BD86-4778-B49C-EFDC0C8DDF0E}">
            <xm:f>Currency=Reference!$G$6</xm:f>
            <x14:dxf>
              <numFmt numFmtId="173" formatCode="[$GBP]\ #,##0.00_);[Red]\([$GBP]\ #,##0.00\)"/>
            </x14:dxf>
          </x14:cfRule>
          <xm:sqref>D34:H34 D36:H36 D40:H40 D49:H52 D71:H71 D77:H77 D58:H65</xm:sqref>
        </x14:conditionalFormatting>
        <x14:conditionalFormatting xmlns:xm="http://schemas.microsoft.com/office/excel/2006/main">
          <x14:cfRule type="expression" priority="16" id="{6C2FAE42-38FD-441B-ABEB-0ED9E862E5F0}">
            <xm:f>OR(D16=Reference!$T$6,D16=Reference!$T$5)</xm:f>
            <x14:dxf>
              <font>
                <color theme="1" tint="0.499984740745262"/>
              </font>
              <fill>
                <patternFill>
                  <bgColor theme="1" tint="0.499984740745262"/>
                </patternFill>
              </fill>
            </x14:dxf>
          </x14:cfRule>
          <xm:sqref>D27:H27</xm:sqref>
        </x14:conditionalFormatting>
        <x14:conditionalFormatting xmlns:xm="http://schemas.microsoft.com/office/excel/2006/main">
          <x14:cfRule type="expression" priority="15" id="{FFE618E3-165A-4507-98A3-F944B21FE564}">
            <xm:f>AND(D13&lt;&gt;Reference!$T$5,D13&lt;&gt;"")</xm:f>
            <x14:dxf>
              <font>
                <color theme="1" tint="0.499984740745262"/>
              </font>
              <fill>
                <patternFill>
                  <bgColor theme="1" tint="0.499984740745262"/>
                </patternFill>
              </fill>
            </x14:dxf>
          </x14:cfRule>
          <xm:sqref>D40:H40</xm:sqref>
        </x14:conditionalFormatting>
        <x14:conditionalFormatting xmlns:xm="http://schemas.microsoft.com/office/excel/2006/main">
          <x14:cfRule type="expression" priority="14" id="{7289DF84-853D-48F2-8131-2023E02EC676}">
            <xm:f>AND(D$14&lt;&gt;Reference!$Z$4,D$14&lt;&gt;Reference!$Z$5, D$14&lt;&gt;Reference!$Z$6, D$14&lt;&gt;Reference!$Z$7, D$14&lt;&gt;"")</xm:f>
            <x14:dxf>
              <font>
                <color theme="1" tint="0.499984740745262"/>
              </font>
              <fill>
                <patternFill>
                  <bgColor theme="1" tint="0.499984740745262"/>
                </patternFill>
              </fill>
            </x14:dxf>
          </x14:cfRule>
          <xm:sqref>D49:H52</xm:sqref>
        </x14:conditionalFormatting>
        <x14:conditionalFormatting xmlns:xm="http://schemas.microsoft.com/office/excel/2006/main">
          <x14:cfRule type="expression" priority="13" id="{8147E42C-EC53-4C58-95D4-1E4655FE4811}">
            <xm:f>D33='WVD Licensing Requirement'!$B$12</xm:f>
            <x14:dxf>
              <font>
                <color theme="1" tint="0.499984740745262"/>
              </font>
              <fill>
                <patternFill>
                  <bgColor theme="1" tint="0.499984740745262"/>
                </patternFill>
              </fill>
            </x14:dxf>
          </x14:cfRule>
          <xm:sqref>D34:H34</xm:sqref>
        </x14:conditionalFormatting>
        <x14:conditionalFormatting xmlns:xm="http://schemas.microsoft.com/office/excel/2006/main">
          <x14:cfRule type="expression" priority="12" id="{BDA30A98-73E7-4EA7-9939-25287D04F2C2}">
            <xm:f>D35='WVD Licensing Requirement'!$C$6</xm:f>
            <x14:dxf>
              <font>
                <color theme="1" tint="0.499984740745262"/>
              </font>
              <fill>
                <patternFill>
                  <bgColor theme="1" tint="0.499984740745262"/>
                </patternFill>
              </fill>
            </x14:dxf>
          </x14:cfRule>
          <xm:sqref>D36:H36</xm:sqref>
        </x14:conditionalFormatting>
        <x14:conditionalFormatting xmlns:xm="http://schemas.microsoft.com/office/excel/2006/main">
          <x14:cfRule type="expression" priority="1" id="{5B46A94F-F5BF-4EF0-997D-18CCAB959F7C}">
            <xm:f>OR(D$16=Reference!$T$4,D$16=Reference!$T$5,D$16=Reference!$T$6)</xm:f>
            <x14:dxf>
              <font>
                <color theme="1" tint="0.499984740745262"/>
              </font>
              <fill>
                <patternFill>
                  <bgColor theme="1" tint="0.499984740745262"/>
                </patternFill>
              </fill>
            </x14:dxf>
          </x14:cfRule>
          <x14:cfRule type="expression" priority="4" id="{E8353880-546A-4214-9B09-3A0995FFFFFA}">
            <xm:f>Currency=Reference!$G$11</xm:f>
            <x14:dxf>
              <numFmt numFmtId="177" formatCode="[$DKK]\ #,##0.00_);[Red]\([$DKK]\ #,##0.00\)"/>
            </x14:dxf>
          </x14:cfRule>
          <x14:cfRule type="expression" priority="5" id="{98101F58-8448-4A8F-9DD6-53457E974B91}">
            <xm:f>Currency=Reference!$G$10</xm:f>
            <x14:dxf>
              <numFmt numFmtId="176" formatCode="[$JPY]\ #,##0.00_);[Red]\([$JPY]\ #,##0.00\)"/>
            </x14:dxf>
          </x14:cfRule>
          <x14:cfRule type="expression" priority="6" id="{E8107469-CA32-4FCC-8D8B-CF656E0D51C6}">
            <xm:f>Currency=Reference!$G$9</xm:f>
            <x14:dxf>
              <numFmt numFmtId="175" formatCode="[$CAD]\ #,##0.00_);[Red]\([$CAD]\ #,##0.00\)"/>
            </x14:dxf>
          </x14:cfRule>
          <x14:cfRule type="expression" priority="7" id="{77B0ACF0-A689-4C29-8756-43F2A5917463}">
            <xm:f>Currency=Reference!$G$8</xm:f>
            <x14:dxf>
              <numFmt numFmtId="174" formatCode="[$HKD]\ #,##0.00_);[Red]\([$HKD]\ #,##0.00\)"/>
            </x14:dxf>
          </x14:cfRule>
          <x14:cfRule type="expression" priority="8" id="{B2B937D1-8678-4FA6-988B-7F67C758CB2A}">
            <xm:f>Currency=Reference!$G$5</xm:f>
            <x14:dxf>
              <numFmt numFmtId="172" formatCode="[$EUR]\ #,##0.00_);[Red]\([$EUR]\ #,##0.00\)"/>
            </x14:dxf>
          </x14:cfRule>
          <x14:cfRule type="expression" priority="9" id="{75E9054E-87BF-407C-AAA0-6BA7F3B855F6}">
            <xm:f>Currency=Reference!$G$4</xm:f>
            <x14:dxf>
              <numFmt numFmtId="171" formatCode="[$AUD]\ #,##0.00_);[Red]\([$AUD]\ #,##0.00\)"/>
            </x14:dxf>
          </x14:cfRule>
          <x14:cfRule type="expression" priority="10" id="{3E65333C-2C17-48E5-B80A-4692A7EC08FB}">
            <xm:f>Currency=Reference!$G$3</xm:f>
            <x14:dxf>
              <numFmt numFmtId="170" formatCode="[$NZD]\ #,##0.00_);[Red]\([$NZD]\ #,##0.00\)"/>
            </x14:dxf>
          </x14:cfRule>
          <x14:cfRule type="expression" priority="11" id="{D02CFAF5-496E-4CE4-85CA-A941D6101776}">
            <xm:f>Currency=Reference!$G$6</xm:f>
            <x14:dxf>
              <numFmt numFmtId="173" formatCode="[$GBP]\ #,##0.00_);[Red]\([$GBP]\ #,##0.00\)"/>
            </x14:dxf>
          </x14:cfRule>
          <xm:sqref>D43:H43</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9762B5B-2BF9-4B93-88B4-92318B595209}">
          <x14:formula1>
            <xm:f>Reference!$T$3:$T$5</xm:f>
          </x14:formula1>
          <xm:sqref>D13:H13</xm:sqref>
        </x14:dataValidation>
        <x14:dataValidation type="list" allowBlank="1" showInputMessage="1" showErrorMessage="1" xr:uid="{E080DFE0-542D-45F9-971C-52956A3D4CC9}">
          <x14:formula1>
            <xm:f>Reference!$Y$3:$Y$6</xm:f>
          </x14:formula1>
          <xm:sqref>D19:H19</xm:sqref>
        </x14:dataValidation>
        <x14:dataValidation type="list" allowBlank="1" showInputMessage="1" showErrorMessage="1" xr:uid="{D16C4F45-5EEC-40C8-9145-22789B6AFEEF}">
          <x14:formula1>
            <xm:f>Reference!$G$3:$G$11</xm:f>
          </x14:formula1>
          <xm:sqref>D7</xm:sqref>
        </x14:dataValidation>
        <x14:dataValidation type="list" operator="greaterThanOrEqual" allowBlank="1" showInputMessage="1" showErrorMessage="1" error="Please input 0 or positive value." xr:uid="{5C1BF47F-709D-499B-9163-C5C335DFC16A}">
          <x14:formula1>
            <xm:f>'WVD Licensing Requirement'!$B$4:$B$12</xm:f>
          </x14:formula1>
          <xm:sqref>D33:H33</xm:sqref>
        </x14:dataValidation>
        <x14:dataValidation type="list" allowBlank="1" showInputMessage="1" showErrorMessage="1" xr:uid="{B8070306-F2AC-4F38-B1AE-F103C869031A}">
          <x14:formula1>
            <xm:f>Reference!$Z$3:$Z$7</xm:f>
          </x14:formula1>
          <xm:sqref>D14:H14</xm:sqref>
        </x14:dataValidation>
        <x14:dataValidation type="list" allowBlank="1" showInputMessage="1" showErrorMessage="1" xr:uid="{0C755EEE-8E0B-49E8-9543-EBB991AF809C}">
          <x14:formula1>
            <xm:f>Reference!$AD$3:$AD$4</xm:f>
          </x14:formula1>
          <xm:sqref>D8</xm:sqref>
        </x14:dataValidation>
        <x14:dataValidation type="list" operator="greaterThanOrEqual" allowBlank="1" showInputMessage="1" showErrorMessage="1" error="Please input 0 or positive value." xr:uid="{E8C76671-6518-4B86-951C-F8F4DFDFCA1F}">
          <x14:formula1>
            <xm:f>'WVD Licensing Requirement'!$C$4:$C$6</xm:f>
          </x14:formula1>
          <xm:sqref>D35:H35</xm:sqref>
        </x14:dataValidation>
        <x14:dataValidation type="list" allowBlank="1" showInputMessage="1" showErrorMessage="1" xr:uid="{79451C5B-A1B0-467F-9378-DD436BC91A78}">
          <x14:formula1>
            <xm:f>Reference!$T$3:$T$6</xm:f>
          </x14:formula1>
          <xm:sqref>D16:H16</xm:sqref>
        </x14:dataValidation>
        <x14:dataValidation type="list" allowBlank="1" showInputMessage="1" showErrorMessage="1" xr:uid="{5CBFB2F5-EEA5-41E6-B012-352A14C1DE9E}">
          <x14:formula1>
            <xm:f>Reference!$W$3:$W$4</xm:f>
          </x14:formula1>
          <xm:sqref>D27:H27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2B054-503E-4AD1-8E2D-3BDB030C9F86}">
  <sheetPr codeName="Sheet4">
    <tabColor rgb="FF92D050"/>
    <pageSetUpPr fitToPage="1"/>
  </sheetPr>
  <dimension ref="B1:L72"/>
  <sheetViews>
    <sheetView showGridLines="0" zoomScale="85" zoomScaleNormal="85" workbookViewId="0"/>
  </sheetViews>
  <sheetFormatPr defaultColWidth="9" defaultRowHeight="16.5" x14ac:dyDescent="0.3"/>
  <cols>
    <col min="1" max="2" width="1.85546875" style="27" customWidth="1"/>
    <col min="3" max="3" width="55.85546875" style="27" customWidth="1"/>
    <col min="4" max="4" width="26.85546875" style="6" customWidth="1"/>
    <col min="5" max="8" width="26.85546875" style="27" customWidth="1"/>
    <col min="9" max="9" width="1.85546875" style="27" customWidth="1"/>
    <col min="10" max="10" width="1.85546875" style="32" customWidth="1"/>
    <col min="11" max="11" width="30.85546875" style="27" bestFit="1" customWidth="1"/>
    <col min="12" max="13" width="25.5703125" style="27" customWidth="1"/>
    <col min="14" max="14" width="51.5703125" style="27" bestFit="1" customWidth="1"/>
    <col min="15" max="16384" width="9" style="27"/>
  </cols>
  <sheetData>
    <row r="1" spans="2:12" ht="35.1" customHeight="1" x14ac:dyDescent="0.3">
      <c r="B1" s="373" t="s">
        <v>550</v>
      </c>
      <c r="C1" s="373"/>
      <c r="D1" s="373"/>
      <c r="E1" s="373"/>
      <c r="F1" s="373"/>
      <c r="G1" s="373"/>
      <c r="H1" s="373"/>
      <c r="I1" s="373"/>
      <c r="J1" s="117"/>
    </row>
    <row r="2" spans="2:12" ht="20.100000000000001" customHeight="1" x14ac:dyDescent="0.3">
      <c r="B2" s="103" t="e">
        <f ca="1">MID(CELL("filename",B1),FIND("]",CELL("filename",B1))+1,255)</f>
        <v>#VALUE!</v>
      </c>
      <c r="C2" s="130"/>
      <c r="D2" s="130"/>
      <c r="E2" s="130"/>
      <c r="F2" s="130"/>
      <c r="G2" s="130"/>
      <c r="H2" s="130"/>
      <c r="I2" s="130"/>
      <c r="J2" s="131"/>
    </row>
    <row r="4" spans="2:12" ht="20.25" x14ac:dyDescent="0.3">
      <c r="B4" s="28"/>
      <c r="C4" s="128" t="s">
        <v>176</v>
      </c>
      <c r="D4" s="28"/>
      <c r="E4" s="28"/>
      <c r="F4" s="28"/>
      <c r="G4" s="28"/>
      <c r="H4" s="28"/>
      <c r="I4" s="41"/>
      <c r="K4" s="112" t="s">
        <v>156</v>
      </c>
    </row>
    <row r="5" spans="2:12" x14ac:dyDescent="0.3">
      <c r="B5" s="28"/>
      <c r="C5" s="28"/>
      <c r="D5" s="28"/>
      <c r="E5" s="28"/>
      <c r="F5" s="28"/>
      <c r="G5" s="28"/>
      <c r="H5" s="28"/>
      <c r="I5" s="41"/>
      <c r="K5" s="83" t="s">
        <v>283</v>
      </c>
      <c r="L5" s="113"/>
    </row>
    <row r="6" spans="2:12" ht="17.25" x14ac:dyDescent="0.3">
      <c r="B6" s="28"/>
      <c r="C6" s="45" t="s">
        <v>176</v>
      </c>
      <c r="D6" s="137" t="s">
        <v>126</v>
      </c>
      <c r="E6" s="137" t="s">
        <v>132</v>
      </c>
      <c r="F6" s="137" t="s">
        <v>133</v>
      </c>
      <c r="G6" s="137" t="s">
        <v>134</v>
      </c>
      <c r="H6" s="137" t="s">
        <v>135</v>
      </c>
      <c r="I6" s="41"/>
      <c r="K6" s="84" t="s">
        <v>288</v>
      </c>
      <c r="L6" s="113" t="s">
        <v>282</v>
      </c>
    </row>
    <row r="7" spans="2:12" x14ac:dyDescent="0.3">
      <c r="B7" s="28"/>
      <c r="C7" s="49" t="str">
        <f>'1. Opportunity Profile'!C20</f>
        <v>Named (total) users</v>
      </c>
      <c r="D7" s="138">
        <f>IF('1. Opportunity Profile'!D20&lt;&gt;"",'1. Opportunity Profile'!D20,"")</f>
        <v>500</v>
      </c>
      <c r="E7" s="138">
        <f>IF('1. Opportunity Profile'!E20&lt;&gt;"",'1. Opportunity Profile'!E20,"")</f>
        <v>150</v>
      </c>
      <c r="F7" s="138">
        <f>IF('1. Opportunity Profile'!F20&lt;&gt;"",'1. Opportunity Profile'!F20,"")</f>
        <v>350</v>
      </c>
      <c r="G7" s="138">
        <f>IF('1. Opportunity Profile'!G20&lt;&gt;"",'1. Opportunity Profile'!G20,"")</f>
        <v>350</v>
      </c>
      <c r="H7" s="138" t="str">
        <f>IF('1. Opportunity Profile'!H20&lt;&gt;"",'1. Opportunity Profile'!H20,"")</f>
        <v/>
      </c>
      <c r="I7" s="41"/>
      <c r="K7" s="44" t="s">
        <v>287</v>
      </c>
      <c r="L7" s="113" t="s">
        <v>282</v>
      </c>
    </row>
    <row r="8" spans="2:12" x14ac:dyDescent="0.3">
      <c r="B8" s="28"/>
      <c r="C8" s="49" t="s">
        <v>217</v>
      </c>
      <c r="D8" s="138" t="str">
        <f>IF('1. Opportunity Profile'!D16&lt;&gt;"",'1. Opportunity Profile'!D16,"")</f>
        <v>Windows 10 multi-session</v>
      </c>
      <c r="E8" s="138" t="str">
        <f>IF('1. Opportunity Profile'!E16&lt;&gt;"",'1. Opportunity Profile'!E16,"")</f>
        <v>Windows Server</v>
      </c>
      <c r="F8" s="138" t="str">
        <f>IF('1. Opportunity Profile'!F16&lt;&gt;"",'1. Opportunity Profile'!F16,"")</f>
        <v>Windows 10 multi-session</v>
      </c>
      <c r="G8" s="138" t="str">
        <f>IF('1. Opportunity Profile'!G16&lt;&gt;"",'1. Opportunity Profile'!G16,"")</f>
        <v>Windows 10</v>
      </c>
      <c r="H8" s="138" t="str">
        <f>IF('1. Opportunity Profile'!H16&lt;&gt;"",'1. Opportunity Profile'!H16,"")</f>
        <v/>
      </c>
      <c r="I8" s="41"/>
    </row>
    <row r="9" spans="2:12" x14ac:dyDescent="0.3">
      <c r="B9" s="28"/>
      <c r="C9" s="49" t="s">
        <v>249</v>
      </c>
      <c r="D9" s="138" t="str">
        <f>IF('1. Opportunity Profile'!D37&lt;&gt;"",'1. Opportunity Profile'!D37,"")</f>
        <v>Requires add'l licensing</v>
      </c>
      <c r="E9" s="138" t="str">
        <f>IF('1. Opportunity Profile'!E37&lt;&gt;"",'1. Opportunity Profile'!E37,"")</f>
        <v>Qualifies for WVD Rights</v>
      </c>
      <c r="F9" s="138" t="str">
        <f>IF('1. Opportunity Profile'!F37&lt;&gt;"",'1. Opportunity Profile'!F37,"")</f>
        <v>Qualifies for WVD Rights</v>
      </c>
      <c r="G9" s="138" t="str">
        <f>IF('1. Opportunity Profile'!G37&lt;&gt;"",'1. Opportunity Profile'!G37,"")</f>
        <v>Qualifies for WVD Rights</v>
      </c>
      <c r="H9" s="138" t="str">
        <f>IF('1. Opportunity Profile'!H37&lt;&gt;"",'1. Opportunity Profile'!H37,"")</f>
        <v/>
      </c>
      <c r="I9" s="41"/>
    </row>
    <row r="10" spans="2:12" x14ac:dyDescent="0.3">
      <c r="B10" s="28"/>
      <c r="C10" s="49" t="s">
        <v>175</v>
      </c>
      <c r="D10" s="139" t="str">
        <f>IF(D8 &lt;&gt; "",IF(D8=Reference!$T$5,Reference!$S$4,Reference!$S$3),"")</f>
        <v>Client-based</v>
      </c>
      <c r="E10" s="139" t="str">
        <f>IF(E8 &lt;&gt; "",IF(E8=Reference!$T$5,Reference!$S$4,Reference!$S$3),"")</f>
        <v>Server-based</v>
      </c>
      <c r="F10" s="139" t="str">
        <f>IF(F8 &lt;&gt; "",IF(F8=Reference!$T$5,Reference!$S$4,Reference!$S$3),"")</f>
        <v>Client-based</v>
      </c>
      <c r="G10" s="139" t="str">
        <f>IF(G8 &lt;&gt; "",IF(G8=Reference!$T$5,Reference!$S$4,Reference!$S$3),"")</f>
        <v>Client-based</v>
      </c>
      <c r="H10" s="139" t="str">
        <f>IF(H8 &lt;&gt; "",IF(H8=Reference!$T$5,Reference!$S$4,Reference!$S$3),"")</f>
        <v/>
      </c>
      <c r="I10" s="88"/>
      <c r="J10" s="132"/>
      <c r="K10" s="114" t="s">
        <v>177</v>
      </c>
    </row>
    <row r="11" spans="2:12" ht="33" x14ac:dyDescent="0.3">
      <c r="B11" s="28"/>
      <c r="C11" s="49" t="s">
        <v>391</v>
      </c>
      <c r="D11" s="139" t="str">
        <f>IF(D9&lt;&gt;"",IF(D9=Reference!$AB$3,IF(D10=Reference!$S$3,'2. Desktop License Cost'!D19,'2. Desktop License Cost'!D22),"N/A"),"")</f>
        <v>N/A</v>
      </c>
      <c r="E11" s="139" t="str">
        <f>IF(E9&lt;&gt;"",IF(E9=Reference!$AB$3,IF(E10=Reference!$S$3,'2. Desktop License Cost'!E19,'2. Desktop License Cost'!E22),"N/A"),"")</f>
        <v>RDS CAL w/ SA</v>
      </c>
      <c r="F11" s="139" t="str">
        <f>IF(F9&lt;&gt;"",IF(F9=Reference!$AB$3,IF(F10=Reference!$S$3,'2. Desktop License Cost'!F19,'2. Desktop License Cost'!F22),"N/A"),"")</f>
        <v>Windows 10 Enterprise E3/E5</v>
      </c>
      <c r="G11" s="139" t="str">
        <f>IF(G9&lt;&gt;"",IF(G9=Reference!$AB$3,IF(G10=Reference!$S$3,'2. Desktop License Cost'!G19,'2. Desktop License Cost'!G22),"N/A"),"")</f>
        <v>Windows 10 Enterprise E3/E5</v>
      </c>
      <c r="H11" s="139" t="str">
        <f>IF(H9&lt;&gt;"",IF(H9=Reference!$AB$3,IF(H10=Reference!$S$3,'2. Desktop License Cost'!H19,'2. Desktop License Cost'!H22),"N/A"),"")</f>
        <v/>
      </c>
      <c r="I11" s="88"/>
      <c r="J11" s="132"/>
      <c r="K11" s="115" t="s">
        <v>10</v>
      </c>
      <c r="L11" s="115" t="s">
        <v>174</v>
      </c>
    </row>
    <row r="12" spans="2:12" x14ac:dyDescent="0.3">
      <c r="B12" s="28"/>
      <c r="C12" s="50" t="s">
        <v>392</v>
      </c>
      <c r="D12" s="265">
        <f>IF(D9&lt;&gt;"",IF(D9=Reference!$AB$3,IF(D10=Reference!$S$3,'2. Desktop License Cost'!D20,'2. Desktop License Cost'!D23),0),"")</f>
        <v>0</v>
      </c>
      <c r="E12" s="266">
        <f>IF(E9&lt;&gt;"",IF(E9=Reference!$AB$3,IF(E10=Reference!$S$3,'2. Desktop License Cost'!E20,'2. Desktop License Cost'!E23),0),"")</f>
        <v>10</v>
      </c>
      <c r="F12" s="266">
        <f>IF(F9&lt;&gt;"",IF(F9=Reference!$AB$3,IF(F10=Reference!$S$3,'2. Desktop License Cost'!F20,'2. Desktop License Cost'!F23),0),"")</f>
        <v>7</v>
      </c>
      <c r="G12" s="265">
        <f>IF(G9&lt;&gt;"",IF(G9=Reference!$AB$3,IF(G10=Reference!$S$3,'2. Desktop License Cost'!G20,'2. Desktop License Cost'!G23),0),"")</f>
        <v>7</v>
      </c>
      <c r="H12" s="265" t="str">
        <f>IF(H9&lt;&gt;"",IF(H9=Reference!$AB$3,IF(H10=Reference!$S$3,'2. Desktop License Cost'!H20,'2. Desktop License Cost'!H23),0),"")</f>
        <v/>
      </c>
      <c r="I12" s="88"/>
      <c r="J12" s="132"/>
      <c r="K12" s="116" t="s">
        <v>184</v>
      </c>
      <c r="L12" s="116" t="s">
        <v>166</v>
      </c>
    </row>
    <row r="13" spans="2:12" x14ac:dyDescent="0.3">
      <c r="B13" s="28"/>
      <c r="C13" s="106" t="s">
        <v>411</v>
      </c>
      <c r="D13" s="340" t="s">
        <v>178</v>
      </c>
      <c r="E13" s="341" t="s">
        <v>166</v>
      </c>
      <c r="F13" s="341" t="s">
        <v>182</v>
      </c>
      <c r="G13" s="342"/>
      <c r="H13" s="315"/>
      <c r="I13" s="88"/>
      <c r="J13" s="132"/>
      <c r="K13" s="116" t="s">
        <v>178</v>
      </c>
      <c r="L13" s="116"/>
    </row>
    <row r="14" spans="2:12" x14ac:dyDescent="0.3">
      <c r="B14" s="28"/>
      <c r="C14" s="50" t="s">
        <v>343</v>
      </c>
      <c r="D14" s="343">
        <v>8</v>
      </c>
      <c r="E14" s="335">
        <v>8</v>
      </c>
      <c r="F14" s="335">
        <v>8</v>
      </c>
      <c r="G14" s="336"/>
      <c r="H14" s="333"/>
      <c r="I14" s="88"/>
      <c r="J14" s="132"/>
      <c r="K14" s="116" t="s">
        <v>179</v>
      </c>
      <c r="L14" s="116"/>
    </row>
    <row r="15" spans="2:12" x14ac:dyDescent="0.3">
      <c r="B15" s="28"/>
      <c r="C15" s="63" t="s">
        <v>341</v>
      </c>
      <c r="D15" s="264">
        <f>IF(D7&lt;&gt;"",IF(D9=Reference!$AB$3,D12*D7, D14*D7),"")</f>
        <v>4000</v>
      </c>
      <c r="E15" s="267">
        <f>IF(E7&lt;&gt;"",IF(E9=Reference!$AB$3,E12*E7, E14*E7),"")</f>
        <v>1500</v>
      </c>
      <c r="F15" s="267">
        <f>IF(F7&lt;&gt;"",IF(F9=Reference!$AB$3,F12*F7, F14*F7),"")</f>
        <v>2450</v>
      </c>
      <c r="G15" s="264">
        <f>IF(G7&lt;&gt;"",IF(G9=Reference!$AB$3,G12*G7, G14*G7),"")</f>
        <v>2450</v>
      </c>
      <c r="H15" s="264" t="str">
        <f>IF(H7&lt;&gt;"",IF(H9=Reference!$AB$3,H12*H7, H14*H7),"")</f>
        <v/>
      </c>
      <c r="I15" s="41"/>
      <c r="K15" s="116" t="s">
        <v>180</v>
      </c>
      <c r="L15" s="116"/>
    </row>
    <row r="16" spans="2:12" x14ac:dyDescent="0.3">
      <c r="B16" s="28"/>
      <c r="C16" s="28"/>
      <c r="D16" s="28"/>
      <c r="E16" s="28"/>
      <c r="F16" s="28"/>
      <c r="G16" s="28"/>
      <c r="H16" s="28"/>
      <c r="I16" s="41"/>
      <c r="K16" s="116" t="s">
        <v>181</v>
      </c>
      <c r="L16" s="116"/>
    </row>
    <row r="17" spans="2:12" ht="17.25" x14ac:dyDescent="0.3">
      <c r="B17" s="28"/>
      <c r="C17" s="45" t="s">
        <v>216</v>
      </c>
      <c r="D17" s="137" t="s">
        <v>126</v>
      </c>
      <c r="E17" s="137" t="s">
        <v>132</v>
      </c>
      <c r="F17" s="137" t="s">
        <v>133</v>
      </c>
      <c r="G17" s="137" t="s">
        <v>134</v>
      </c>
      <c r="H17" s="137" t="s">
        <v>135</v>
      </c>
      <c r="I17" s="41"/>
      <c r="K17" s="116" t="s">
        <v>182</v>
      </c>
      <c r="L17" s="116"/>
    </row>
    <row r="18" spans="2:12" x14ac:dyDescent="0.3">
      <c r="B18" s="28"/>
      <c r="C18" s="49" t="s">
        <v>218</v>
      </c>
      <c r="D18" s="133" t="str">
        <f>IF('1. Opportunity Profile'!D13&lt;&gt;"",'1. Opportunity Profile'!D13,"")</f>
        <v>Windows 7</v>
      </c>
      <c r="E18" s="133" t="str">
        <f>IF('1. Opportunity Profile'!E13&lt;&gt;"",'1. Opportunity Profile'!E13,"")</f>
        <v>Windows Server</v>
      </c>
      <c r="F18" s="133" t="str">
        <f>IF('1. Opportunity Profile'!F13&lt;&gt;"",'1. Opportunity Profile'!F13,"")</f>
        <v>Windows Server</v>
      </c>
      <c r="G18" s="133" t="str">
        <f>IF('1. Opportunity Profile'!G13&lt;&gt;"",'1. Opportunity Profile'!G13,"")</f>
        <v>Windows 10</v>
      </c>
      <c r="H18" s="133" t="str">
        <f>IF('1. Opportunity Profile'!H13&lt;&gt;"",'1. Opportunity Profile'!H13,"")</f>
        <v/>
      </c>
      <c r="I18" s="41"/>
      <c r="K18" s="116" t="s">
        <v>183</v>
      </c>
      <c r="L18" s="116"/>
    </row>
    <row r="19" spans="2:12" x14ac:dyDescent="0.3">
      <c r="B19" s="28"/>
      <c r="C19" s="49" t="s">
        <v>185</v>
      </c>
      <c r="D19" s="107" t="str">
        <f>IF('1. Opportunity Profile'!D33&lt;&gt;"",'1. Opportunity Profile'!D33,"")</f>
        <v>None</v>
      </c>
      <c r="E19" s="107" t="str">
        <f>IF('1. Opportunity Profile'!E33&lt;&gt;"",'1. Opportunity Profile'!E33,"")</f>
        <v>None</v>
      </c>
      <c r="F19" s="141" t="str">
        <f>IF('1. Opportunity Profile'!F33&lt;&gt;"",'1. Opportunity Profile'!F33,"")</f>
        <v>Windows 10 Enterprise E3/E5</v>
      </c>
      <c r="G19" s="107" t="str">
        <f>IF('1. Opportunity Profile'!G33&lt;&gt;"",'1. Opportunity Profile'!G33,"")</f>
        <v>Windows 10 Enterprise E3/E5</v>
      </c>
      <c r="H19" s="107" t="str">
        <f>IF('1. Opportunity Profile'!H33&lt;&gt;"",'1. Opportunity Profile'!H33,"")</f>
        <v/>
      </c>
      <c r="I19" s="88"/>
      <c r="J19" s="132"/>
    </row>
    <row r="20" spans="2:12" x14ac:dyDescent="0.3">
      <c r="B20" s="28"/>
      <c r="C20" s="50" t="s">
        <v>333</v>
      </c>
      <c r="D20" s="264">
        <f>IF(D7&lt;&gt;"",IF(D19='WVD Licensing Requirement'!$B$12,0,'1. Opportunity Profile'!D34),"")</f>
        <v>0</v>
      </c>
      <c r="E20" s="264">
        <f>IF(E7&lt;&gt;"",IF(E19='WVD Licensing Requirement'!$B$12,0,'1. Opportunity Profile'!E34),"")</f>
        <v>0</v>
      </c>
      <c r="F20" s="264">
        <f>IF(F7&lt;&gt;"",IF(F19='WVD Licensing Requirement'!$B$12,0,'1. Opportunity Profile'!F34),"")</f>
        <v>7</v>
      </c>
      <c r="G20" s="264">
        <f>IF(G7&lt;&gt;"",IF(G19='WVD Licensing Requirement'!$B$12,0,'1. Opportunity Profile'!G34),"")</f>
        <v>7</v>
      </c>
      <c r="H20" s="264" t="str">
        <f>IF(H7&lt;&gt;"",IF(H19='WVD Licensing Requirement'!$B$12,0,'1. Opportunity Profile'!H34),"")</f>
        <v/>
      </c>
      <c r="I20" s="88"/>
      <c r="J20" s="132"/>
    </row>
    <row r="21" spans="2:12" x14ac:dyDescent="0.3">
      <c r="B21" s="28"/>
      <c r="C21" s="50" t="s">
        <v>344</v>
      </c>
      <c r="D21" s="264">
        <f>IF(D7&lt;&gt;"",D7*D20,"")</f>
        <v>0</v>
      </c>
      <c r="E21" s="264">
        <f>IF(E7&lt;&gt;"",E7*E20,"")</f>
        <v>0</v>
      </c>
      <c r="F21" s="264">
        <f>IF(F7&lt;&gt;"",F7*F20,"")</f>
        <v>2450</v>
      </c>
      <c r="G21" s="264">
        <f>IF(G7&lt;&gt;"",G7*G20,"")</f>
        <v>2450</v>
      </c>
      <c r="H21" s="264" t="str">
        <f>IF(H7&lt;&gt;"",H7*H20,"")</f>
        <v/>
      </c>
      <c r="I21" s="41"/>
    </row>
    <row r="22" spans="2:12" x14ac:dyDescent="0.3">
      <c r="B22" s="28"/>
      <c r="C22" s="49" t="s">
        <v>186</v>
      </c>
      <c r="D22" s="107" t="str">
        <f>IF('1. Opportunity Profile'!D35&lt;&gt;"",'1. Opportunity Profile'!D35,"")</f>
        <v>None</v>
      </c>
      <c r="E22" s="107" t="str">
        <f>IF('1. Opportunity Profile'!E35&lt;&gt;"",'1. Opportunity Profile'!E35,"")</f>
        <v>RDS CAL w/ SA</v>
      </c>
      <c r="F22" s="107" t="str">
        <f>IF('1. Opportunity Profile'!F35&lt;&gt;"",'1. Opportunity Profile'!F35,"")</f>
        <v>RDS CAL w/ SA</v>
      </c>
      <c r="G22" s="107" t="str">
        <f>IF('1. Opportunity Profile'!G35&lt;&gt;"",'1. Opportunity Profile'!G35,"")</f>
        <v>None</v>
      </c>
      <c r="H22" s="107" t="str">
        <f>IF('1. Opportunity Profile'!H35&lt;&gt;"",'1. Opportunity Profile'!H35,"")</f>
        <v/>
      </c>
      <c r="I22" s="88"/>
      <c r="J22" s="132"/>
    </row>
    <row r="23" spans="2:12" x14ac:dyDescent="0.3">
      <c r="B23" s="28"/>
      <c r="C23" s="50" t="s">
        <v>334</v>
      </c>
      <c r="D23" s="264">
        <f>IF(D7&lt;&gt;"",IF(D22='WVD Licensing Requirement'!$C$6,0,'1. Opportunity Profile'!D36),"")</f>
        <v>0</v>
      </c>
      <c r="E23" s="264">
        <f>IF(E7&lt;&gt;"",IF(E22='WVD Licensing Requirement'!$C$6,0,'1. Opportunity Profile'!E36),"")</f>
        <v>10</v>
      </c>
      <c r="F23" s="264">
        <f>IF(F7&lt;&gt;"",IF(F22='WVD Licensing Requirement'!$C$6,0,'1. Opportunity Profile'!F36),"")</f>
        <v>10</v>
      </c>
      <c r="G23" s="264">
        <f>IF(G7&lt;&gt;"",IF(G22='WVD Licensing Requirement'!$C$6,0,'1. Opportunity Profile'!G36),"")</f>
        <v>0</v>
      </c>
      <c r="H23" s="264" t="str">
        <f>IF(H7&lt;&gt;"",IF(H22='WVD Licensing Requirement'!$C$6,0,'1. Opportunity Profile'!H36),"")</f>
        <v/>
      </c>
      <c r="I23" s="88"/>
      <c r="J23" s="132"/>
    </row>
    <row r="24" spans="2:12" x14ac:dyDescent="0.3">
      <c r="B24" s="28"/>
      <c r="C24" s="50" t="s">
        <v>345</v>
      </c>
      <c r="D24" s="264">
        <f>IF(D7&lt;&gt;"",D7*D23,"")</f>
        <v>0</v>
      </c>
      <c r="E24" s="264">
        <f>IF(E7&lt;&gt;"",E7*E23,"")</f>
        <v>1500</v>
      </c>
      <c r="F24" s="264">
        <f>IF(F7&lt;&gt;"",F7*F23,"")</f>
        <v>3500</v>
      </c>
      <c r="G24" s="264">
        <f>IF(G7&lt;&gt;"",G7*G23,"")</f>
        <v>0</v>
      </c>
      <c r="H24" s="264" t="str">
        <f>IF(H7&lt;&gt;"",H7*H23,"")</f>
        <v/>
      </c>
      <c r="I24" s="88"/>
      <c r="J24" s="132"/>
    </row>
    <row r="25" spans="2:12" x14ac:dyDescent="0.3">
      <c r="B25" s="28"/>
      <c r="C25" s="28"/>
      <c r="D25" s="28"/>
      <c r="E25" s="28"/>
      <c r="F25" s="28"/>
      <c r="G25" s="28"/>
      <c r="H25" s="28"/>
      <c r="I25" s="41"/>
    </row>
    <row r="26" spans="2:12" ht="17.25" x14ac:dyDescent="0.3">
      <c r="B26" s="28"/>
      <c r="C26" s="45" t="s">
        <v>224</v>
      </c>
      <c r="D26" s="137" t="s">
        <v>126</v>
      </c>
      <c r="E26" s="137" t="s">
        <v>132</v>
      </c>
      <c r="F26" s="137" t="s">
        <v>133</v>
      </c>
      <c r="G26" s="137" t="s">
        <v>134</v>
      </c>
      <c r="H26" s="137" t="s">
        <v>135</v>
      </c>
      <c r="I26" s="88"/>
      <c r="J26" s="132"/>
    </row>
    <row r="27" spans="2:12" x14ac:dyDescent="0.3">
      <c r="B27" s="28"/>
      <c r="C27" s="44" t="s">
        <v>402</v>
      </c>
      <c r="D27" s="264">
        <f>IF(D7&lt;&gt;"",D20+D23-IF(D9=Reference!$AB$4,D14,D12),"")</f>
        <v>-8</v>
      </c>
      <c r="E27" s="264">
        <f>IF(E7&lt;&gt;"",E20+E23-IF(E9=Reference!$AB$4,E14,E12),"")</f>
        <v>0</v>
      </c>
      <c r="F27" s="264">
        <f>IF(F7&lt;&gt;"",F20+F23-IF(F9=Reference!$AB$4,F14,F12),"")</f>
        <v>10</v>
      </c>
      <c r="G27" s="264">
        <f>IF(G7&lt;&gt;"",G20+G23-IF(G9=Reference!$AB$4,G14,G12),"")</f>
        <v>0</v>
      </c>
      <c r="H27" s="264" t="str">
        <f>IF(H7&lt;&gt;"",H20+H23-IF(H9=Reference!$AB$4,H14,H12),"")</f>
        <v/>
      </c>
      <c r="I27" s="88"/>
      <c r="J27" s="132"/>
    </row>
    <row r="28" spans="2:12" x14ac:dyDescent="0.3">
      <c r="B28" s="28"/>
      <c r="C28" s="44" t="s">
        <v>403</v>
      </c>
      <c r="D28" s="264">
        <f>IF(D7&lt;&gt;"",D7*D27,"")</f>
        <v>-4000</v>
      </c>
      <c r="E28" s="264">
        <f>IF(E7&lt;&gt;"",E7*E27,"")</f>
        <v>0</v>
      </c>
      <c r="F28" s="264">
        <f>IF(F7&lt;&gt;"",F7*F27,"")</f>
        <v>3500</v>
      </c>
      <c r="G28" s="264">
        <f>IF(G7&lt;&gt;"",G7*G27,"")</f>
        <v>0</v>
      </c>
      <c r="H28" s="264" t="str">
        <f>IF(H7&lt;&gt;"",H7*H27,"")</f>
        <v/>
      </c>
      <c r="I28" s="41"/>
    </row>
    <row r="29" spans="2:12" x14ac:dyDescent="0.3">
      <c r="B29" s="28"/>
      <c r="C29" s="28"/>
      <c r="D29" s="28"/>
      <c r="E29" s="28"/>
      <c r="F29" s="28"/>
      <c r="G29" s="28"/>
      <c r="H29" s="28"/>
      <c r="I29" s="28"/>
      <c r="J29" s="33"/>
    </row>
    <row r="30" spans="2:12" x14ac:dyDescent="0.3">
      <c r="D30" s="18"/>
      <c r="E30" s="113"/>
      <c r="F30" s="113"/>
      <c r="G30" s="113"/>
      <c r="H30" s="113"/>
    </row>
    <row r="31" spans="2:12" ht="20.25" x14ac:dyDescent="0.3">
      <c r="B31" s="28"/>
      <c r="C31" s="128" t="s">
        <v>557</v>
      </c>
      <c r="D31" s="129"/>
      <c r="E31" s="28"/>
      <c r="F31" s="28"/>
      <c r="G31" s="28"/>
      <c r="H31" s="28"/>
      <c r="I31" s="28"/>
      <c r="J31" s="33"/>
    </row>
    <row r="32" spans="2:12" x14ac:dyDescent="0.3">
      <c r="B32" s="28"/>
      <c r="C32" s="29"/>
      <c r="D32" s="29" t="s">
        <v>490</v>
      </c>
      <c r="E32" s="28"/>
      <c r="F32" s="28"/>
      <c r="G32" s="28"/>
      <c r="H32" s="28"/>
      <c r="I32" s="28"/>
      <c r="J32" s="33"/>
    </row>
    <row r="33" spans="2:10" ht="17.25" x14ac:dyDescent="0.3">
      <c r="B33" s="28"/>
      <c r="C33" s="45" t="s">
        <v>214</v>
      </c>
      <c r="D33" s="137" t="s">
        <v>126</v>
      </c>
      <c r="E33" s="137" t="s">
        <v>132</v>
      </c>
      <c r="F33" s="137" t="s">
        <v>133</v>
      </c>
      <c r="G33" s="137" t="s">
        <v>134</v>
      </c>
      <c r="H33" s="137" t="s">
        <v>135</v>
      </c>
      <c r="I33" s="39"/>
      <c r="J33" s="132"/>
    </row>
    <row r="34" spans="2:10" x14ac:dyDescent="0.3">
      <c r="B34" s="28"/>
      <c r="C34" s="49" t="s">
        <v>346</v>
      </c>
      <c r="D34" s="140">
        <v>0</v>
      </c>
      <c r="E34" s="140">
        <v>0</v>
      </c>
      <c r="F34" s="140">
        <v>0</v>
      </c>
      <c r="G34" s="140">
        <v>0</v>
      </c>
      <c r="H34" s="140">
        <v>0</v>
      </c>
      <c r="I34" s="28"/>
      <c r="J34" s="33"/>
    </row>
    <row r="35" spans="2:10" x14ac:dyDescent="0.3">
      <c r="B35" s="28"/>
      <c r="C35" s="134"/>
      <c r="D35" s="134"/>
      <c r="E35" s="134"/>
      <c r="F35" s="134"/>
      <c r="G35" s="134"/>
      <c r="H35" s="134"/>
      <c r="I35" s="28"/>
      <c r="J35" s="33"/>
    </row>
    <row r="36" spans="2:10" ht="17.25" x14ac:dyDescent="0.3">
      <c r="B36" s="28"/>
      <c r="C36" s="45" t="s">
        <v>215</v>
      </c>
      <c r="D36" s="137" t="s">
        <v>126</v>
      </c>
      <c r="E36" s="137" t="s">
        <v>132</v>
      </c>
      <c r="F36" s="137" t="s">
        <v>133</v>
      </c>
      <c r="G36" s="137" t="s">
        <v>134</v>
      </c>
      <c r="H36" s="137" t="s">
        <v>135</v>
      </c>
      <c r="I36" s="39"/>
      <c r="J36" s="132"/>
    </row>
    <row r="37" spans="2:10" x14ac:dyDescent="0.3">
      <c r="B37" s="28"/>
      <c r="C37" s="49" t="s">
        <v>342</v>
      </c>
      <c r="D37" s="187">
        <f>IF(D7&lt;&gt;"",IF(D18=Reference!$T$5,'1. Opportunity Profile'!D40,0),"")</f>
        <v>0</v>
      </c>
      <c r="E37" s="187">
        <f>IF(E7&lt;&gt;"",IF(E18=Reference!$T$5,'1. Opportunity Profile'!E40,0),"")</f>
        <v>1000</v>
      </c>
      <c r="F37" s="187">
        <f>IF(F7&lt;&gt;"",IF(F18=Reference!$T$5,'1. Opportunity Profile'!F40,0),"")</f>
        <v>1000</v>
      </c>
      <c r="G37" s="187">
        <f>IF(G7&lt;&gt;"",IF(G18=Reference!$T$5,'1. Opportunity Profile'!G40,0),"")</f>
        <v>0</v>
      </c>
      <c r="H37" s="187" t="str">
        <f>IF(H7&lt;&gt;"",IF(H18=Reference!$T$5,'1. Opportunity Profile'!H40,0),"")</f>
        <v/>
      </c>
      <c r="I37" s="28"/>
      <c r="J37" s="33"/>
    </row>
    <row r="38" spans="2:10" x14ac:dyDescent="0.3">
      <c r="B38" s="28"/>
      <c r="C38" s="134"/>
      <c r="D38" s="134"/>
      <c r="E38" s="134"/>
      <c r="F38" s="134"/>
      <c r="G38" s="134"/>
      <c r="H38" s="134"/>
      <c r="I38" s="28"/>
      <c r="J38" s="33"/>
    </row>
    <row r="39" spans="2:10" ht="17.25" x14ac:dyDescent="0.3">
      <c r="B39" s="28"/>
      <c r="C39" s="45" t="s">
        <v>226</v>
      </c>
      <c r="D39" s="137" t="s">
        <v>126</v>
      </c>
      <c r="E39" s="137" t="s">
        <v>132</v>
      </c>
      <c r="F39" s="137" t="s">
        <v>133</v>
      </c>
      <c r="G39" s="137" t="s">
        <v>134</v>
      </c>
      <c r="H39" s="137" t="s">
        <v>135</v>
      </c>
      <c r="I39" s="39"/>
      <c r="J39" s="132"/>
    </row>
    <row r="40" spans="2:10" x14ac:dyDescent="0.3">
      <c r="B40" s="28"/>
      <c r="C40" s="44" t="s">
        <v>403</v>
      </c>
      <c r="D40" s="264">
        <f>IF(D37&lt;&gt;"",D37-D34,"")</f>
        <v>0</v>
      </c>
      <c r="E40" s="264">
        <f t="shared" ref="E40:H40" si="0">IF(E37&lt;&gt;"",E37-E34,"")</f>
        <v>1000</v>
      </c>
      <c r="F40" s="264">
        <f t="shared" si="0"/>
        <v>1000</v>
      </c>
      <c r="G40" s="264">
        <f t="shared" si="0"/>
        <v>0</v>
      </c>
      <c r="H40" s="264" t="str">
        <f t="shared" si="0"/>
        <v/>
      </c>
      <c r="I40" s="28"/>
      <c r="J40" s="33"/>
    </row>
    <row r="41" spans="2:10" x14ac:dyDescent="0.3">
      <c r="B41" s="28"/>
      <c r="C41" s="28"/>
      <c r="D41" s="28"/>
      <c r="E41" s="28"/>
      <c r="F41" s="28"/>
      <c r="G41" s="28"/>
      <c r="H41" s="28"/>
      <c r="I41" s="28"/>
      <c r="J41" s="33"/>
    </row>
    <row r="42" spans="2:10" x14ac:dyDescent="0.3">
      <c r="D42" s="18"/>
      <c r="E42" s="113"/>
      <c r="F42" s="113"/>
      <c r="G42" s="113"/>
      <c r="H42" s="113"/>
    </row>
    <row r="43" spans="2:10" ht="20.25" x14ac:dyDescent="0.3">
      <c r="B43" s="28"/>
      <c r="C43" s="128" t="s">
        <v>585</v>
      </c>
      <c r="D43" s="129"/>
      <c r="E43" s="28"/>
      <c r="F43" s="28"/>
      <c r="G43" s="28"/>
      <c r="H43" s="28"/>
      <c r="I43" s="28"/>
    </row>
    <row r="44" spans="2:10" x14ac:dyDescent="0.3">
      <c r="B44" s="28"/>
      <c r="C44" s="29"/>
      <c r="D44" s="29" t="s">
        <v>590</v>
      </c>
      <c r="E44" s="28"/>
      <c r="F44" s="28"/>
      <c r="G44" s="28"/>
      <c r="H44" s="28"/>
      <c r="I44" s="28"/>
    </row>
    <row r="45" spans="2:10" ht="17.25" x14ac:dyDescent="0.3">
      <c r="B45" s="28"/>
      <c r="C45" s="45" t="s">
        <v>586</v>
      </c>
      <c r="D45" s="137" t="s">
        <v>126</v>
      </c>
      <c r="E45" s="137" t="s">
        <v>132</v>
      </c>
      <c r="F45" s="137" t="s">
        <v>133</v>
      </c>
      <c r="G45" s="137" t="s">
        <v>134</v>
      </c>
      <c r="H45" s="137" t="s">
        <v>135</v>
      </c>
      <c r="I45" s="39"/>
    </row>
    <row r="46" spans="2:10" x14ac:dyDescent="0.3">
      <c r="B46" s="28"/>
      <c r="C46" s="49" t="s">
        <v>346</v>
      </c>
      <c r="D46" s="140">
        <v>0</v>
      </c>
      <c r="E46" s="140">
        <v>0</v>
      </c>
      <c r="F46" s="140">
        <v>0</v>
      </c>
      <c r="G46" s="140">
        <v>0</v>
      </c>
      <c r="H46" s="140">
        <v>0</v>
      </c>
      <c r="I46" s="28"/>
    </row>
    <row r="47" spans="2:10" x14ac:dyDescent="0.3">
      <c r="B47" s="28"/>
      <c r="C47" s="134"/>
      <c r="D47" s="134"/>
      <c r="E47" s="134"/>
      <c r="F47" s="134"/>
      <c r="G47" s="134"/>
      <c r="H47" s="134"/>
      <c r="I47" s="28"/>
    </row>
    <row r="48" spans="2:10" ht="17.25" x14ac:dyDescent="0.3">
      <c r="B48" s="28"/>
      <c r="C48" s="45" t="s">
        <v>587</v>
      </c>
      <c r="D48" s="137" t="s">
        <v>126</v>
      </c>
      <c r="E48" s="137" t="s">
        <v>132</v>
      </c>
      <c r="F48" s="137" t="s">
        <v>133</v>
      </c>
      <c r="G48" s="137" t="s">
        <v>134</v>
      </c>
      <c r="H48" s="137" t="s">
        <v>135</v>
      </c>
      <c r="I48" s="39"/>
    </row>
    <row r="49" spans="2:10" x14ac:dyDescent="0.3">
      <c r="B49" s="28"/>
      <c r="C49" s="49" t="s">
        <v>342</v>
      </c>
      <c r="D49" s="187">
        <f>IF(D8&lt;&gt;"",IF(OR(D8=Reference!$T$3,D8=Reference!$T$5),'1. Opportunity Profile'!D43,0),"")</f>
        <v>0</v>
      </c>
      <c r="E49" s="187">
        <f>IF(E8&lt;&gt;"",IF(OR(E8=Reference!$T$3,E8=Reference!$T$5),'1. Opportunity Profile'!E43,0),"")</f>
        <v>0</v>
      </c>
      <c r="F49" s="187">
        <f>IF(F8&lt;&gt;"",IF(OR(F8=Reference!$T$3,F8=Reference!$T$5),'1. Opportunity Profile'!F43,0),"")</f>
        <v>0</v>
      </c>
      <c r="G49" s="187">
        <f>IF(G8&lt;&gt;"",IF(OR(G8=Reference!$T$3,G8=Reference!$T$5),'1. Opportunity Profile'!G43,0),"")</f>
        <v>0</v>
      </c>
      <c r="H49" s="187" t="str">
        <f>IF(H8&lt;&gt;"",IF(OR(H8=Reference!$T$3,H8=Reference!$T$5),'1. Opportunity Profile'!H43,0),"")</f>
        <v/>
      </c>
      <c r="I49" s="28"/>
    </row>
    <row r="50" spans="2:10" x14ac:dyDescent="0.3">
      <c r="B50" s="28"/>
      <c r="C50" s="134"/>
      <c r="D50" s="134"/>
      <c r="E50" s="134"/>
      <c r="F50" s="134"/>
      <c r="G50" s="134"/>
      <c r="H50" s="134"/>
      <c r="I50" s="28"/>
    </row>
    <row r="51" spans="2:10" ht="17.25" x14ac:dyDescent="0.3">
      <c r="B51" s="28"/>
      <c r="C51" s="45" t="s">
        <v>588</v>
      </c>
      <c r="D51" s="137" t="s">
        <v>126</v>
      </c>
      <c r="E51" s="137" t="s">
        <v>132</v>
      </c>
      <c r="F51" s="137" t="s">
        <v>133</v>
      </c>
      <c r="G51" s="137" t="s">
        <v>134</v>
      </c>
      <c r="H51" s="137" t="s">
        <v>135</v>
      </c>
      <c r="I51" s="39"/>
    </row>
    <row r="52" spans="2:10" x14ac:dyDescent="0.3">
      <c r="B52" s="28"/>
      <c r="C52" s="44" t="s">
        <v>403</v>
      </c>
      <c r="D52" s="264">
        <f>IF(D49&lt;&gt;"",D49-D46,"")</f>
        <v>0</v>
      </c>
      <c r="E52" s="264">
        <f t="shared" ref="E52:H52" si="1">IF(E49&lt;&gt;"",E49-E46,"")</f>
        <v>0</v>
      </c>
      <c r="F52" s="264">
        <f t="shared" si="1"/>
        <v>0</v>
      </c>
      <c r="G52" s="264">
        <f t="shared" si="1"/>
        <v>0</v>
      </c>
      <c r="H52" s="264" t="str">
        <f t="shared" si="1"/>
        <v/>
      </c>
      <c r="I52" s="28"/>
    </row>
    <row r="53" spans="2:10" x14ac:dyDescent="0.3">
      <c r="B53" s="28"/>
      <c r="C53" s="28"/>
      <c r="D53" s="28"/>
      <c r="E53" s="28"/>
      <c r="F53" s="28"/>
      <c r="G53" s="28"/>
      <c r="H53" s="28"/>
      <c r="I53" s="28"/>
    </row>
    <row r="54" spans="2:10" x14ac:dyDescent="0.3">
      <c r="D54" s="18"/>
      <c r="E54" s="113"/>
      <c r="F54" s="113"/>
      <c r="G54" s="113"/>
      <c r="H54" s="113"/>
    </row>
    <row r="55" spans="2:10" ht="20.25" x14ac:dyDescent="0.3">
      <c r="B55" s="28"/>
      <c r="C55" s="128" t="s">
        <v>387</v>
      </c>
      <c r="D55" s="129"/>
      <c r="E55" s="28"/>
      <c r="F55" s="28"/>
      <c r="G55" s="28"/>
      <c r="H55" s="28"/>
      <c r="I55" s="28"/>
      <c r="J55" s="33"/>
    </row>
    <row r="56" spans="2:10" x14ac:dyDescent="0.3">
      <c r="B56" s="28"/>
      <c r="C56" s="29"/>
      <c r="D56" s="28"/>
      <c r="E56" s="28"/>
      <c r="F56" s="28"/>
      <c r="G56" s="28"/>
      <c r="H56" s="28"/>
      <c r="I56" s="28"/>
      <c r="J56" s="33"/>
    </row>
    <row r="57" spans="2:10" ht="17.25" x14ac:dyDescent="0.3">
      <c r="B57" s="28"/>
      <c r="C57" s="45" t="s">
        <v>244</v>
      </c>
      <c r="D57" s="137" t="s">
        <v>126</v>
      </c>
      <c r="E57" s="137" t="s">
        <v>132</v>
      </c>
      <c r="F57" s="137" t="s">
        <v>133</v>
      </c>
      <c r="G57" s="137" t="s">
        <v>134</v>
      </c>
      <c r="H57" s="137" t="s">
        <v>135</v>
      </c>
      <c r="I57" s="28"/>
      <c r="J57" s="33"/>
    </row>
    <row r="58" spans="2:10" x14ac:dyDescent="0.3">
      <c r="B58" s="28"/>
      <c r="C58" s="50" t="s">
        <v>347</v>
      </c>
      <c r="D58" s="268">
        <f>IF(D7&lt;&gt;"",D15,0)</f>
        <v>4000</v>
      </c>
      <c r="E58" s="268">
        <f>IF(E7&lt;&gt;"",E15,0)</f>
        <v>1500</v>
      </c>
      <c r="F58" s="268">
        <f>IF(F7&lt;&gt;"",F15,0)</f>
        <v>2450</v>
      </c>
      <c r="G58" s="268">
        <f>IF(G7&lt;&gt;"",G15,0)</f>
        <v>2450</v>
      </c>
      <c r="H58" s="268">
        <f>IF(H7&lt;&gt;"",H15,0)</f>
        <v>0</v>
      </c>
      <c r="I58" s="28"/>
      <c r="J58" s="33"/>
    </row>
    <row r="59" spans="2:10" x14ac:dyDescent="0.3">
      <c r="B59" s="28"/>
      <c r="C59" s="50" t="s">
        <v>348</v>
      </c>
      <c r="D59" s="268">
        <f>IF(D7&lt;&gt;"",D34,0)</f>
        <v>0</v>
      </c>
      <c r="E59" s="268">
        <f>IF(E7&lt;&gt;"",E34,0)</f>
        <v>0</v>
      </c>
      <c r="F59" s="268">
        <f>IF(F7&lt;&gt;"",F34,0)</f>
        <v>0</v>
      </c>
      <c r="G59" s="268">
        <f>IF(G7&lt;&gt;"",G34,0)</f>
        <v>0</v>
      </c>
      <c r="H59" s="268">
        <f>IF(H7&lt;&gt;"",H34,0)</f>
        <v>0</v>
      </c>
      <c r="I59" s="28"/>
      <c r="J59" s="33"/>
    </row>
    <row r="60" spans="2:10" x14ac:dyDescent="0.3">
      <c r="B60" s="28"/>
      <c r="C60" s="50" t="s">
        <v>589</v>
      </c>
      <c r="D60" s="268">
        <f>IF(D7&lt;&gt;"",D46,0)</f>
        <v>0</v>
      </c>
      <c r="E60" s="268">
        <f>IF(E7&lt;&gt;"",E46,0)</f>
        <v>0</v>
      </c>
      <c r="F60" s="268">
        <f>IF(F7&lt;&gt;"",F46,0)</f>
        <v>0</v>
      </c>
      <c r="G60" s="268">
        <f>IF(G7&lt;&gt;"",G46,0)</f>
        <v>0</v>
      </c>
      <c r="H60" s="268">
        <f>IF(H7&lt;&gt;"",H46,0)</f>
        <v>0</v>
      </c>
      <c r="I60" s="28"/>
      <c r="J60" s="33"/>
    </row>
    <row r="61" spans="2:10" x14ac:dyDescent="0.3">
      <c r="B61" s="28"/>
      <c r="C61" s="135" t="s">
        <v>244</v>
      </c>
      <c r="D61" s="269">
        <f>IF(D7&lt;&gt;"",SUM(D58:D60),0)</f>
        <v>4000</v>
      </c>
      <c r="E61" s="269">
        <f>IF(E7&lt;&gt;"",SUM(E58:E60),0)</f>
        <v>1500</v>
      </c>
      <c r="F61" s="269">
        <f>IF(F7&lt;&gt;"",SUM(F58:F60),0)</f>
        <v>2450</v>
      </c>
      <c r="G61" s="269">
        <f>IF(G7&lt;&gt;"",SUM(G58:G60),0)</f>
        <v>2450</v>
      </c>
      <c r="H61" s="269">
        <f>IF(H7&lt;&gt;"",SUM(H58:H60),0)</f>
        <v>0</v>
      </c>
      <c r="I61" s="28"/>
      <c r="J61" s="33"/>
    </row>
    <row r="62" spans="2:10" ht="17.25" x14ac:dyDescent="0.3">
      <c r="B62" s="28"/>
      <c r="C62" s="45" t="s">
        <v>245</v>
      </c>
      <c r="D62" s="137" t="s">
        <v>126</v>
      </c>
      <c r="E62" s="137" t="s">
        <v>132</v>
      </c>
      <c r="F62" s="137" t="s">
        <v>133</v>
      </c>
      <c r="G62" s="137" t="s">
        <v>134</v>
      </c>
      <c r="H62" s="137" t="s">
        <v>135</v>
      </c>
      <c r="I62" s="28"/>
      <c r="J62" s="33"/>
    </row>
    <row r="63" spans="2:10" x14ac:dyDescent="0.3">
      <c r="B63" s="28"/>
      <c r="C63" s="50" t="s">
        <v>246</v>
      </c>
      <c r="D63" s="268">
        <f>IF(D7&lt;&gt;"",D21+D24,0)</f>
        <v>0</v>
      </c>
      <c r="E63" s="268">
        <f>IF(E7&lt;&gt;"",E21+E24,0)</f>
        <v>1500</v>
      </c>
      <c r="F63" s="268">
        <f>IF(F7&lt;&gt;"",F21+F24,0)</f>
        <v>5950</v>
      </c>
      <c r="G63" s="268">
        <f>IF(G7&lt;&gt;"",G21+G24,0)</f>
        <v>2450</v>
      </c>
      <c r="H63" s="268">
        <f>IF(H7&lt;&gt;"",H21+H24,0)</f>
        <v>0</v>
      </c>
      <c r="I63" s="28"/>
      <c r="J63" s="33"/>
    </row>
    <row r="64" spans="2:10" x14ac:dyDescent="0.3">
      <c r="B64" s="28"/>
      <c r="C64" s="50" t="s">
        <v>247</v>
      </c>
      <c r="D64" s="268">
        <f>IF(D7&lt;&gt;"",D37,0)</f>
        <v>0</v>
      </c>
      <c r="E64" s="268">
        <f>IF(E7&lt;&gt;"",E37,0)</f>
        <v>1000</v>
      </c>
      <c r="F64" s="268">
        <f>IF(F7&lt;&gt;"",F37,0)</f>
        <v>1000</v>
      </c>
      <c r="G64" s="268">
        <f>IF(G7&lt;&gt;"",G37,0)</f>
        <v>0</v>
      </c>
      <c r="H64" s="268">
        <f>IF(H7&lt;&gt;"",H37,0)</f>
        <v>0</v>
      </c>
      <c r="I64" s="28"/>
      <c r="J64" s="33"/>
    </row>
    <row r="65" spans="2:10" x14ac:dyDescent="0.3">
      <c r="B65" s="28"/>
      <c r="C65" s="50" t="s">
        <v>589</v>
      </c>
      <c r="D65" s="268">
        <f>IF(D7&lt;&gt;"",D49,0)</f>
        <v>0</v>
      </c>
      <c r="E65" s="268">
        <f>IF(E7&lt;&gt;"",E49,0)</f>
        <v>0</v>
      </c>
      <c r="F65" s="268">
        <f>IF(F7&lt;&gt;"",F49,0)</f>
        <v>0</v>
      </c>
      <c r="G65" s="268">
        <f>IF(G7&lt;&gt;"",G49,0)</f>
        <v>0</v>
      </c>
      <c r="H65" s="268">
        <f>IF(H7&lt;&gt;"",H49,0)</f>
        <v>0</v>
      </c>
      <c r="I65" s="28"/>
      <c r="J65" s="33"/>
    </row>
    <row r="66" spans="2:10" x14ac:dyDescent="0.3">
      <c r="B66" s="28"/>
      <c r="C66" s="135" t="s">
        <v>245</v>
      </c>
      <c r="D66" s="269">
        <f>IF(D7&lt;&gt;"",SUM(D63:D65),0)</f>
        <v>0</v>
      </c>
      <c r="E66" s="269">
        <f>IF(E7&lt;&gt;"",SUM(E63:E65),0)</f>
        <v>2500</v>
      </c>
      <c r="F66" s="269">
        <f>IF(F7&lt;&gt;"",SUM(F63:F65),0)</f>
        <v>6950</v>
      </c>
      <c r="G66" s="269">
        <f>IF(G7&lt;&gt;"",SUM(G63:G65),0)</f>
        <v>2450</v>
      </c>
      <c r="H66" s="269">
        <f>IF(H7&lt;&gt;"",SUM(H63:H65),0)</f>
        <v>0</v>
      </c>
      <c r="I66" s="28"/>
      <c r="J66" s="33"/>
    </row>
    <row r="67" spans="2:10" ht="17.25" x14ac:dyDescent="0.3">
      <c r="B67" s="28"/>
      <c r="C67" s="45" t="s">
        <v>405</v>
      </c>
      <c r="D67" s="137" t="s">
        <v>126</v>
      </c>
      <c r="E67" s="137" t="s">
        <v>132</v>
      </c>
      <c r="F67" s="137" t="s">
        <v>133</v>
      </c>
      <c r="G67" s="137" t="s">
        <v>134</v>
      </c>
      <c r="H67" s="137" t="s">
        <v>135</v>
      </c>
      <c r="I67" s="28"/>
      <c r="J67" s="33"/>
    </row>
    <row r="68" spans="2:10" x14ac:dyDescent="0.3">
      <c r="B68" s="28"/>
      <c r="C68" s="50" t="s">
        <v>347</v>
      </c>
      <c r="D68" s="268">
        <f>IF(D7&lt;&gt;"",D28,0)</f>
        <v>-4000</v>
      </c>
      <c r="E68" s="268">
        <f>IF(E7&lt;&gt;"",E28,0)</f>
        <v>0</v>
      </c>
      <c r="F68" s="268">
        <f>IF(F7&lt;&gt;"",F28,0)</f>
        <v>3500</v>
      </c>
      <c r="G68" s="268">
        <f>IF(G7&lt;&gt;"",G28,0)</f>
        <v>0</v>
      </c>
      <c r="H68" s="268">
        <f>IF(H7&lt;&gt;"",H28,0)</f>
        <v>0</v>
      </c>
      <c r="I68" s="28"/>
      <c r="J68" s="33"/>
    </row>
    <row r="69" spans="2:10" x14ac:dyDescent="0.3">
      <c r="B69" s="28"/>
      <c r="C69" s="50" t="s">
        <v>348</v>
      </c>
      <c r="D69" s="268">
        <f>IF(D7&lt;&gt;"",D40,0)</f>
        <v>0</v>
      </c>
      <c r="E69" s="268">
        <f>IF(E7&lt;&gt;"",E40,0)</f>
        <v>1000</v>
      </c>
      <c r="F69" s="268">
        <f>IF(F7&lt;&gt;"",F40,0)</f>
        <v>1000</v>
      </c>
      <c r="G69" s="268">
        <f>IF(G7&lt;&gt;"",G40,0)</f>
        <v>0</v>
      </c>
      <c r="H69" s="268">
        <f>IF(H7&lt;&gt;"",H40,0)</f>
        <v>0</v>
      </c>
      <c r="I69" s="28"/>
      <c r="J69" s="33"/>
    </row>
    <row r="70" spans="2:10" x14ac:dyDescent="0.3">
      <c r="B70" s="28"/>
      <c r="C70" s="50" t="s">
        <v>589</v>
      </c>
      <c r="D70" s="268">
        <f>IF(D7&lt;&gt;"",D52,0)</f>
        <v>0</v>
      </c>
      <c r="E70" s="268">
        <f>IF(E7&lt;&gt;"",E52,0)</f>
        <v>0</v>
      </c>
      <c r="F70" s="268">
        <f>IF(F7&lt;&gt;"",F52,0)</f>
        <v>0</v>
      </c>
      <c r="G70" s="268">
        <f>IF(G7&lt;&gt;"",G52,0)</f>
        <v>0</v>
      </c>
      <c r="H70" s="268">
        <f>IF(H7&lt;&gt;"",H52,0)</f>
        <v>0</v>
      </c>
      <c r="I70" s="28"/>
      <c r="J70" s="33"/>
    </row>
    <row r="71" spans="2:10" x14ac:dyDescent="0.3">
      <c r="B71" s="28"/>
      <c r="C71" s="136" t="s">
        <v>404</v>
      </c>
      <c r="D71" s="269">
        <f>IF(D7&lt;&gt;"",SUM(D68:D70),0)</f>
        <v>-4000</v>
      </c>
      <c r="E71" s="269">
        <f>IF(E7&lt;&gt;"",SUM(E68:E70),0)</f>
        <v>1000</v>
      </c>
      <c r="F71" s="269">
        <f>IF(F7&lt;&gt;"",SUM(F68:F70),0)</f>
        <v>4500</v>
      </c>
      <c r="G71" s="269">
        <f>IF(G7&lt;&gt;"",SUM(G68:G70),0)</f>
        <v>0</v>
      </c>
      <c r="H71" s="269">
        <f>IF(H7&lt;&gt;"",SUM(H68:H70),0)</f>
        <v>0</v>
      </c>
      <c r="I71" s="28"/>
      <c r="J71" s="33"/>
    </row>
    <row r="72" spans="2:10" x14ac:dyDescent="0.3">
      <c r="B72" s="28"/>
      <c r="C72" s="28"/>
      <c r="D72" s="28"/>
      <c r="E72" s="28"/>
      <c r="F72" s="28"/>
      <c r="G72" s="28"/>
      <c r="H72" s="28"/>
      <c r="I72" s="28"/>
      <c r="J72" s="33"/>
    </row>
  </sheetData>
  <sheetProtection sheet="1" objects="1" scenarios="1" formatCells="0" formatColumns="0" formatRows="0"/>
  <mergeCells count="1">
    <mergeCell ref="B1:I1"/>
  </mergeCells>
  <conditionalFormatting sqref="D13:H14">
    <cfRule type="expression" dxfId="123" priority="17">
      <formula>D$7=""</formula>
    </cfRule>
  </conditionalFormatting>
  <dataValidations count="4">
    <dataValidation type="decimal" operator="greaterThanOrEqual" allowBlank="1" showInputMessage="1" showErrorMessage="1" error="Please input 0 or positive value." sqref="D20:H21 D23:H24" xr:uid="{B9726D4D-3139-4097-BF7C-A523A5B1C4E7}">
      <formula1>0</formula1>
    </dataValidation>
    <dataValidation operator="greaterThanOrEqual" allowBlank="1" showInputMessage="1" showErrorMessage="1" error="Please input 0 or positive value." sqref="D22:H22 D19:H19" xr:uid="{8373D188-E2E9-42C7-9097-FC3DEA116227}"/>
    <dataValidation type="decimal" operator="greaterThanOrEqual" allowBlank="1" showInputMessage="1" showErrorMessage="1" error="Please input positive value or 0." sqref="D14:H15" xr:uid="{7BAD8193-E198-4A4E-8344-B02140D3C6C2}">
      <formula1>0</formula1>
    </dataValidation>
    <dataValidation type="list" allowBlank="1" showInputMessage="1" showErrorMessage="1" sqref="D13:H13" xr:uid="{63876641-F1FE-4747-9527-55974FDF0924}">
      <formula1>INDIRECT(SUBSTITUTE(D10,"-","_"))</formula1>
    </dataValidation>
  </dataValidations>
  <pageMargins left="0.7" right="0.7" top="0.75" bottom="0.75" header="0.3" footer="0.3"/>
  <pageSetup scale="45"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8" id="{5F383C5F-2831-48FA-A5E5-21D89A6CFA65}">
            <xm:f>D$9=Reference!$AB$3</xm:f>
            <x14:dxf>
              <font>
                <color theme="1" tint="0.499984740745262"/>
              </font>
              <fill>
                <patternFill>
                  <bgColor theme="1" tint="0.499984740745262"/>
                </patternFill>
              </fill>
            </x14:dxf>
          </x14:cfRule>
          <xm:sqref>D13:H14</xm:sqref>
        </x14:conditionalFormatting>
        <x14:conditionalFormatting xmlns:xm="http://schemas.microsoft.com/office/excel/2006/main">
          <x14:cfRule type="expression" priority="19" id="{835591F9-6C16-42EC-9DC8-B9A7F503F874}">
            <xm:f>Currency=Reference!$G$11</xm:f>
            <x14:dxf>
              <numFmt numFmtId="177" formatCode="[$DKK]\ #,##0.00_);[Red]\([$DKK]\ #,##0.00\)"/>
            </x14:dxf>
          </x14:cfRule>
          <x14:cfRule type="expression" priority="20" id="{97F13755-9BB1-4D0B-93E8-93FE809E6819}">
            <xm:f>Currency=Reference!$G$10</xm:f>
            <x14:dxf>
              <numFmt numFmtId="176" formatCode="[$JPY]\ #,##0.00_);[Red]\([$JPY]\ #,##0.00\)"/>
            </x14:dxf>
          </x14:cfRule>
          <x14:cfRule type="expression" priority="21" id="{3D0AB285-1400-43AC-A1F8-96C789764F27}">
            <xm:f>Currency=Reference!$G$9</xm:f>
            <x14:dxf>
              <numFmt numFmtId="175" formatCode="[$CAD]\ #,##0.00_);[Red]\([$CAD]\ #,##0.00\)"/>
            </x14:dxf>
          </x14:cfRule>
          <x14:cfRule type="expression" priority="22" id="{15B0A3D0-2CAC-4B8E-9987-6BB009AE424D}">
            <xm:f>Currency=Reference!$G$8</xm:f>
            <x14:dxf>
              <numFmt numFmtId="174" formatCode="[$HKD]\ #,##0.00_);[Red]\([$HKD]\ #,##0.00\)"/>
            </x14:dxf>
          </x14:cfRule>
          <x14:cfRule type="expression" priority="23" id="{EB04CA41-6BD9-48F5-A744-E3375AEB616E}">
            <xm:f>Currency=Reference!$G$6</xm:f>
            <x14:dxf>
              <numFmt numFmtId="173" formatCode="[$GBP]\ #,##0.00_);[Red]\([$GBP]\ #,##0.00\)"/>
            </x14:dxf>
          </x14:cfRule>
          <x14:cfRule type="expression" priority="24" id="{1406C450-843D-42DE-A6D4-7CF6ED006FAB}">
            <xm:f>Currency=Reference!$G$5</xm:f>
            <x14:dxf>
              <numFmt numFmtId="172" formatCode="[$EUR]\ #,##0.00_);[Red]\([$EUR]\ #,##0.00\)"/>
            </x14:dxf>
          </x14:cfRule>
          <x14:cfRule type="expression" priority="25" id="{120B617E-744E-4A07-B1B6-1865E1552127}">
            <xm:f>Currency=Reference!$G$4</xm:f>
            <x14:dxf>
              <numFmt numFmtId="171" formatCode="[$AUD]\ #,##0.00_);[Red]\([$AUD]\ #,##0.00\)"/>
            </x14:dxf>
          </x14:cfRule>
          <x14:cfRule type="expression" priority="26" id="{9E23FD9E-5C71-4BD4-AD12-409EC4FB1A30}">
            <xm:f>Currency=Reference!$G$3</xm:f>
            <x14:dxf>
              <numFmt numFmtId="170" formatCode="[$NZD]\ #,##0.00_);[Red]\([$NZD]\ #,##0.00\)"/>
            </x14:dxf>
          </x14:cfRule>
          <xm:sqref>D34:H34 D14:H15 D12:H12 D27:H28 D40:H40 D20:H21 D23:H24 D37:H37 D58:H61 D63:H66 D68:H71</xm:sqref>
        </x14:conditionalFormatting>
        <x14:conditionalFormatting xmlns:xm="http://schemas.microsoft.com/office/excel/2006/main">
          <x14:cfRule type="expression" priority="1" id="{DA2AABB6-0C50-4CA5-BAF1-B025101E9E4E}">
            <xm:f>Currency=Reference!$G$11</xm:f>
            <x14:dxf>
              <numFmt numFmtId="177" formatCode="[$DKK]\ #,##0.00_);[Red]\([$DKK]\ #,##0.00\)"/>
            </x14:dxf>
          </x14:cfRule>
          <x14:cfRule type="expression" priority="2" id="{9E536CC0-C2BA-4225-AE6A-79CF7DD58E15}">
            <xm:f>Currency=Reference!$G$10</xm:f>
            <x14:dxf>
              <numFmt numFmtId="176" formatCode="[$JPY]\ #,##0.00_);[Red]\([$JPY]\ #,##0.00\)"/>
            </x14:dxf>
          </x14:cfRule>
          <x14:cfRule type="expression" priority="3" id="{69C4C403-EE2D-482F-B859-7859C11B1DC1}">
            <xm:f>Currency=Reference!$G$9</xm:f>
            <x14:dxf>
              <numFmt numFmtId="175" formatCode="[$CAD]\ #,##0.00_);[Red]\([$CAD]\ #,##0.00\)"/>
            </x14:dxf>
          </x14:cfRule>
          <x14:cfRule type="expression" priority="4" id="{D0226785-242B-4B1B-B3CA-02EA8A78D5D2}">
            <xm:f>Currency=Reference!$G$8</xm:f>
            <x14:dxf>
              <numFmt numFmtId="174" formatCode="[$HKD]\ #,##0.00_);[Red]\([$HKD]\ #,##0.00\)"/>
            </x14:dxf>
          </x14:cfRule>
          <x14:cfRule type="expression" priority="5" id="{E385447E-29E1-49A9-8740-747DFAAC23DE}">
            <xm:f>Currency=Reference!$G$6</xm:f>
            <x14:dxf>
              <numFmt numFmtId="173" formatCode="[$GBP]\ #,##0.00_);[Red]\([$GBP]\ #,##0.00\)"/>
            </x14:dxf>
          </x14:cfRule>
          <x14:cfRule type="expression" priority="6" id="{FF670DBB-0B61-47ED-A375-AF401F3CA288}">
            <xm:f>Currency=Reference!$G$5</xm:f>
            <x14:dxf>
              <numFmt numFmtId="172" formatCode="[$EUR]\ #,##0.00_);[Red]\([$EUR]\ #,##0.00\)"/>
            </x14:dxf>
          </x14:cfRule>
          <x14:cfRule type="expression" priority="7" id="{BC5CA37A-E021-49E3-B6EA-834459CFED36}">
            <xm:f>Currency=Reference!$G$4</xm:f>
            <x14:dxf>
              <numFmt numFmtId="171" formatCode="[$AUD]\ #,##0.00_);[Red]\([$AUD]\ #,##0.00\)"/>
            </x14:dxf>
          </x14:cfRule>
          <x14:cfRule type="expression" priority="8" id="{D63833EC-BF86-4D02-BC6B-E9F829AE6062}">
            <xm:f>Currency=Reference!$G$3</xm:f>
            <x14:dxf>
              <numFmt numFmtId="170" formatCode="[$NZD]\ #,##0.00_);[Red]\([$NZD]\ #,##0.00\)"/>
            </x14:dxf>
          </x14:cfRule>
          <xm:sqref>D46:H46 D52:H52 D49:H49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DEAC8-CA02-479A-9C94-15F32340B8D7}">
  <sheetPr codeName="Sheet9">
    <tabColor rgb="FF92D050"/>
    <pageSetUpPr fitToPage="1"/>
  </sheetPr>
  <dimension ref="B1:L24"/>
  <sheetViews>
    <sheetView showGridLines="0" zoomScale="85" zoomScaleNormal="85" workbookViewId="0"/>
  </sheetViews>
  <sheetFormatPr defaultColWidth="9" defaultRowHeight="16.5" x14ac:dyDescent="0.3"/>
  <cols>
    <col min="1" max="2" width="1.85546875" style="27" customWidth="1"/>
    <col min="3" max="3" width="55.85546875" style="27" customWidth="1"/>
    <col min="4" max="8" width="26.85546875" style="27" customWidth="1"/>
    <col min="9" max="9" width="1.85546875" style="27" customWidth="1"/>
    <col min="10" max="10" width="1.85546875" style="32" customWidth="1"/>
    <col min="11" max="11" width="45.42578125" style="27" customWidth="1"/>
    <col min="12" max="12" width="40.85546875" style="27" customWidth="1"/>
    <col min="13" max="13" width="28" style="27" bestFit="1" customWidth="1"/>
    <col min="14" max="14" width="11.140625" style="27" bestFit="1" customWidth="1"/>
    <col min="15" max="15" width="12.42578125" style="27" bestFit="1" customWidth="1"/>
    <col min="16" max="16" width="16" style="27" bestFit="1" customWidth="1"/>
    <col min="17" max="17" width="14.28515625" style="27" bestFit="1" customWidth="1"/>
    <col min="18" max="16384" width="9" style="27"/>
  </cols>
  <sheetData>
    <row r="1" spans="2:12" s="113" customFormat="1" ht="35.1" customHeight="1" x14ac:dyDescent="0.25">
      <c r="B1" s="373" t="s">
        <v>550</v>
      </c>
      <c r="C1" s="373"/>
      <c r="D1" s="373"/>
      <c r="E1" s="373"/>
      <c r="F1" s="373"/>
      <c r="G1" s="373"/>
      <c r="H1" s="373"/>
      <c r="I1" s="373"/>
      <c r="J1" s="117"/>
    </row>
    <row r="2" spans="2:12" ht="20.100000000000001" customHeight="1" x14ac:dyDescent="0.3">
      <c r="B2" s="375" t="e">
        <f ca="1">MID(CELL("filename",B1),FIND("]",CELL("filename",B1))+1,255)</f>
        <v>#VALUE!</v>
      </c>
      <c r="C2" s="375"/>
      <c r="D2" s="375"/>
      <c r="E2" s="375"/>
      <c r="F2" s="375"/>
      <c r="G2" s="375"/>
      <c r="H2" s="375"/>
      <c r="I2" s="375"/>
      <c r="J2" s="145"/>
    </row>
    <row r="3" spans="2:12" ht="16.899999999999999" customHeight="1" x14ac:dyDescent="0.3">
      <c r="C3" s="26"/>
    </row>
    <row r="4" spans="2:12" ht="20.25" x14ac:dyDescent="0.3">
      <c r="B4" s="28"/>
      <c r="C4" s="128" t="s">
        <v>421</v>
      </c>
      <c r="D4" s="129"/>
      <c r="E4" s="28"/>
      <c r="F4" s="28"/>
      <c r="G4" s="28"/>
      <c r="H4" s="28"/>
      <c r="I4" s="28"/>
      <c r="J4" s="33"/>
      <c r="K4" s="112" t="s">
        <v>156</v>
      </c>
    </row>
    <row r="5" spans="2:12" x14ac:dyDescent="0.3">
      <c r="B5" s="28"/>
      <c r="C5" s="129"/>
      <c r="D5" s="28"/>
      <c r="E5" s="28"/>
      <c r="F5" s="28"/>
      <c r="G5" s="28"/>
      <c r="H5" s="28"/>
      <c r="I5" s="28"/>
      <c r="J5" s="33"/>
      <c r="K5" s="83" t="s">
        <v>283</v>
      </c>
    </row>
    <row r="6" spans="2:12" ht="17.25" x14ac:dyDescent="0.3">
      <c r="B6" s="28"/>
      <c r="C6" s="45" t="s">
        <v>227</v>
      </c>
      <c r="D6" s="48" t="s">
        <v>126</v>
      </c>
      <c r="E6" s="48" t="s">
        <v>132</v>
      </c>
      <c r="F6" s="48" t="s">
        <v>133</v>
      </c>
      <c r="G6" s="48" t="s">
        <v>134</v>
      </c>
      <c r="H6" s="48" t="s">
        <v>135</v>
      </c>
      <c r="I6" s="28"/>
      <c r="J6" s="33"/>
      <c r="K6" s="84" t="s">
        <v>288</v>
      </c>
    </row>
    <row r="7" spans="2:12" x14ac:dyDescent="0.3">
      <c r="B7" s="28"/>
      <c r="C7" s="49" t="str">
        <f>'1. Opportunity Profile'!C20</f>
        <v>Named (total) users</v>
      </c>
      <c r="D7" s="138">
        <f>IF('1. Opportunity Profile'!D20&lt;&gt;"",'1. Opportunity Profile'!D20,"")</f>
        <v>500</v>
      </c>
      <c r="E7" s="138">
        <f>IF('1. Opportunity Profile'!E20&lt;&gt;"",'1. Opportunity Profile'!E20,"")</f>
        <v>150</v>
      </c>
      <c r="F7" s="138">
        <f>IF('1. Opportunity Profile'!F20&lt;&gt;"",'1. Opportunity Profile'!F20,"")</f>
        <v>350</v>
      </c>
      <c r="G7" s="138">
        <f>IF('1. Opportunity Profile'!G20&lt;&gt;"",'1. Opportunity Profile'!G20,"")</f>
        <v>350</v>
      </c>
      <c r="H7" s="138" t="str">
        <f>IF('1. Opportunity Profile'!H20&lt;&gt;"",'1. Opportunity Profile'!H20,"")</f>
        <v/>
      </c>
      <c r="I7" s="28"/>
      <c r="J7" s="33"/>
      <c r="K7" s="295"/>
    </row>
    <row r="8" spans="2:12" x14ac:dyDescent="0.3">
      <c r="B8" s="28"/>
      <c r="C8" s="49" t="s">
        <v>199</v>
      </c>
      <c r="D8" s="107" t="str">
        <f>IF('1. Opportunity Profile'!D14&lt;&gt;"",'1. Opportunity Profile'!D14,"")</f>
        <v>Physical</v>
      </c>
      <c r="E8" s="107" t="str">
        <f>IF('1. Opportunity Profile'!E14&lt;&gt;"",'1. Opportunity Profile'!E14,"")</f>
        <v>RDS on-prem</v>
      </c>
      <c r="F8" s="107" t="str">
        <f>IF('1. Opportunity Profile'!F14&lt;&gt;"",'1. Opportunity Profile'!F14,"")</f>
        <v>RDS on-prem</v>
      </c>
      <c r="G8" s="107" t="str">
        <f>IF('1. Opportunity Profile'!G14&lt;&gt;"",'1. Opportunity Profile'!G14,"")</f>
        <v>Virtualized - Citrix</v>
      </c>
      <c r="H8" s="107" t="str">
        <f>IF('1. Opportunity Profile'!H14&lt;&gt;"",'1. Opportunity Profile'!H14,"")</f>
        <v/>
      </c>
      <c r="I8" s="28"/>
      <c r="J8" s="33"/>
    </row>
    <row r="9" spans="2:12" x14ac:dyDescent="0.3">
      <c r="B9" s="28"/>
      <c r="C9" s="50" t="s">
        <v>339</v>
      </c>
      <c r="D9" s="187">
        <f>IF('1. Opportunity Profile'!D49&lt;&gt;"",IF(AND(D$8&lt;&gt;Reference!$Z$4,D$8&lt;&gt;Reference!$Z$5,D$8&lt;&gt;Reference!$Z$6,D$8&lt;&gt;Reference!$Z$7),0,'1. Opportunity Profile'!D49),"")</f>
        <v>0</v>
      </c>
      <c r="E9" s="187">
        <f>IF('1. Opportunity Profile'!E49&lt;&gt;"",IF(AND(E$8&lt;&gt;Reference!$Z$4,E$8&lt;&gt;Reference!$Z$5,E$8&lt;&gt;Reference!$Z$6,E$8&lt;&gt;Reference!$Z$7),0,'1. Opportunity Profile'!E49),"")</f>
        <v>0</v>
      </c>
      <c r="F9" s="187">
        <f>IF('1. Opportunity Profile'!F49&lt;&gt;"",IF(AND(F$8&lt;&gt;Reference!$Z$4,F$8&lt;&gt;Reference!$Z$5,F$8&lt;&gt;Reference!$Z$6,F$8&lt;&gt;Reference!$Z$7),0,'1. Opportunity Profile'!F49),"")</f>
        <v>0</v>
      </c>
      <c r="G9" s="187">
        <f>IF('1. Opportunity Profile'!G49&lt;&gt;"",IF(AND(G$8&lt;&gt;Reference!$Z$4,G$8&lt;&gt;Reference!$Z$5,G$8&lt;&gt;Reference!$Z$6,G$8&lt;&gt;Reference!$Z$7),0,'1. Opportunity Profile'!G49),"")</f>
        <v>5000</v>
      </c>
      <c r="H9" s="187" t="str">
        <f>IF('1. Opportunity Profile'!H49&lt;&gt;"",IF(AND(H$8&lt;&gt;Reference!$Z$4,H$8&lt;&gt;Reference!$Z$5,H$8&lt;&gt;Reference!$Z$6,H$8&lt;&gt;Reference!$Z$7),0,'1. Opportunity Profile'!H49),"")</f>
        <v/>
      </c>
      <c r="I9" s="28"/>
      <c r="J9" s="33"/>
    </row>
    <row r="10" spans="2:12" x14ac:dyDescent="0.3">
      <c r="B10" s="28"/>
      <c r="C10" s="50" t="s">
        <v>340</v>
      </c>
      <c r="D10" s="187">
        <f>IF('1. Opportunity Profile'!D50&lt;&gt;"",IF(AND(D$8&lt;&gt;Reference!$Z$4,D$8&lt;&gt;Reference!$Z$5,D$8&lt;&gt;Reference!$Z$6,D$8&lt;&gt;Reference!$Z$7),0,'1. Opportunity Profile'!D50),"")</f>
        <v>0</v>
      </c>
      <c r="E10" s="187">
        <f>IF('1. Opportunity Profile'!E50&lt;&gt;"",IF(AND(E$8&lt;&gt;Reference!$Z$4,E$8&lt;&gt;Reference!$Z$5,E$8&lt;&gt;Reference!$Z$6,E$8&lt;&gt;Reference!$Z$7),0,'1. Opportunity Profile'!E50),"")</f>
        <v>0</v>
      </c>
      <c r="F10" s="187">
        <f>IF('1. Opportunity Profile'!F50&lt;&gt;"",IF(AND(F$8&lt;&gt;Reference!$Z$4,F$8&lt;&gt;Reference!$Z$5,F$8&lt;&gt;Reference!$Z$6,F$8&lt;&gt;Reference!$Z$7),0,'1. Opportunity Profile'!F50),"")</f>
        <v>0</v>
      </c>
      <c r="G10" s="187">
        <f>IF('1. Opportunity Profile'!G50&lt;&gt;"",IF(AND(G$8&lt;&gt;Reference!$Z$4,G$8&lt;&gt;Reference!$Z$5,G$8&lt;&gt;Reference!$Z$6,G$8&lt;&gt;Reference!$Z$7),0,'1. Opportunity Profile'!G50),"")</f>
        <v>0</v>
      </c>
      <c r="H10" s="187" t="str">
        <f>IF('1. Opportunity Profile'!H50&lt;&gt;"",IF(AND(H$8&lt;&gt;Reference!$Z$4,H$8&lt;&gt;Reference!$Z$5,H$8&lt;&gt;Reference!$Z$6,H$8&lt;&gt;Reference!$Z$7),0,'1. Opportunity Profile'!H50),"")</f>
        <v/>
      </c>
      <c r="I10" s="28"/>
      <c r="J10" s="33"/>
    </row>
    <row r="11" spans="2:12" x14ac:dyDescent="0.3">
      <c r="B11" s="28"/>
      <c r="C11" s="50" t="s">
        <v>393</v>
      </c>
      <c r="D11" s="187">
        <f>IF('1. Opportunity Profile'!D51&lt;&gt;"",IF(AND(D$8&lt;&gt;Reference!$Z$4,D$8&lt;&gt;Reference!$Z$5,D$8&lt;&gt;Reference!$Z$6,D$8&lt;&gt;Reference!$Z$7),0,'1. Opportunity Profile'!D51),"")</f>
        <v>0</v>
      </c>
      <c r="E11" s="187">
        <f>IF('1. Opportunity Profile'!E51&lt;&gt;"",IF(AND(E$8&lt;&gt;Reference!$Z$4,E$8&lt;&gt;Reference!$Z$5,E$8&lt;&gt;Reference!$Z$6,E$8&lt;&gt;Reference!$Z$7),0,'1. Opportunity Profile'!E51),"")</f>
        <v>0</v>
      </c>
      <c r="F11" s="187">
        <f>IF('1. Opportunity Profile'!F51&lt;&gt;"",IF(AND(F$8&lt;&gt;Reference!$Z$4,F$8&lt;&gt;Reference!$Z$5,F$8&lt;&gt;Reference!$Z$6,F$8&lt;&gt;Reference!$Z$7),0,'1. Opportunity Profile'!F51),"")</f>
        <v>0</v>
      </c>
      <c r="G11" s="187">
        <f>IF('1. Opportunity Profile'!G51&lt;&gt;"",IF(AND(G$8&lt;&gt;Reference!$Z$4,G$8&lt;&gt;Reference!$Z$5,G$8&lt;&gt;Reference!$Z$6,G$8&lt;&gt;Reference!$Z$7),0,'1. Opportunity Profile'!G51),"")</f>
        <v>0</v>
      </c>
      <c r="H11" s="187" t="str">
        <f>IF('1. Opportunity Profile'!H51&lt;&gt;"",IF(AND(H$8&lt;&gt;Reference!$Z$4,H$8&lt;&gt;Reference!$Z$5,H$8&lt;&gt;Reference!$Z$6,H$8&lt;&gt;Reference!$Z$7),0,'1. Opportunity Profile'!H51),"")</f>
        <v/>
      </c>
      <c r="I11" s="28"/>
      <c r="J11" s="33"/>
    </row>
    <row r="12" spans="2:12" x14ac:dyDescent="0.3">
      <c r="B12" s="28"/>
      <c r="C12" s="106" t="s">
        <v>341</v>
      </c>
      <c r="D12" s="264">
        <f>IF(D8&lt;&gt;"",SUM(D9:D11),"")</f>
        <v>0</v>
      </c>
      <c r="E12" s="264">
        <f t="shared" ref="E12:H12" si="0">IF(E8&lt;&gt;"",SUM(E9:E11),"")</f>
        <v>0</v>
      </c>
      <c r="F12" s="264">
        <f t="shared" si="0"/>
        <v>0</v>
      </c>
      <c r="G12" s="264">
        <f t="shared" si="0"/>
        <v>5000</v>
      </c>
      <c r="H12" s="264" t="str">
        <f t="shared" si="0"/>
        <v/>
      </c>
      <c r="I12" s="28"/>
      <c r="J12" s="33"/>
    </row>
    <row r="13" spans="2:12" x14ac:dyDescent="0.3">
      <c r="B13" s="28"/>
      <c r="C13" s="28"/>
      <c r="D13" s="28"/>
      <c r="E13" s="28"/>
      <c r="F13" s="28"/>
      <c r="G13" s="28"/>
      <c r="H13" s="28"/>
      <c r="I13" s="28"/>
      <c r="J13" s="33"/>
      <c r="K13" s="114" t="s">
        <v>390</v>
      </c>
      <c r="L13" s="113"/>
    </row>
    <row r="14" spans="2:12" x14ac:dyDescent="0.3">
      <c r="B14" s="28"/>
      <c r="C14" s="45" t="s">
        <v>136</v>
      </c>
      <c r="D14" s="29" t="s">
        <v>569</v>
      </c>
      <c r="E14" s="28"/>
      <c r="F14" s="28"/>
      <c r="G14" s="28"/>
      <c r="H14" s="28"/>
      <c r="I14" s="28"/>
      <c r="J14" s="33"/>
      <c r="K14" s="113"/>
      <c r="L14" s="113"/>
    </row>
    <row r="15" spans="2:12" x14ac:dyDescent="0.3">
      <c r="B15" s="28"/>
      <c r="C15" s="49" t="s">
        <v>198</v>
      </c>
      <c r="D15" s="344" t="s">
        <v>164</v>
      </c>
      <c r="E15" s="344" t="s">
        <v>164</v>
      </c>
      <c r="F15" s="344" t="s">
        <v>164</v>
      </c>
      <c r="G15" s="344" t="s">
        <v>4</v>
      </c>
      <c r="H15" s="344"/>
      <c r="I15" s="28"/>
      <c r="J15" s="33"/>
      <c r="K15" s="45" t="s">
        <v>372</v>
      </c>
      <c r="L15" s="45" t="s">
        <v>377</v>
      </c>
    </row>
    <row r="16" spans="2:12" x14ac:dyDescent="0.3">
      <c r="B16" s="28"/>
      <c r="C16" s="50" t="s">
        <v>491</v>
      </c>
      <c r="D16" s="333">
        <v>25</v>
      </c>
      <c r="E16" s="333">
        <v>25</v>
      </c>
      <c r="F16" s="333">
        <f>500/12</f>
        <v>41.666666666666664</v>
      </c>
      <c r="G16" s="333">
        <v>15</v>
      </c>
      <c r="H16" s="333"/>
      <c r="I16" s="28"/>
      <c r="J16" s="33"/>
      <c r="K16" s="116" t="s">
        <v>277</v>
      </c>
      <c r="L16" s="116" t="s">
        <v>370</v>
      </c>
    </row>
    <row r="17" spans="2:12" x14ac:dyDescent="0.3">
      <c r="B17" s="28"/>
      <c r="C17" s="50" t="s">
        <v>349</v>
      </c>
      <c r="D17" s="345">
        <v>0.1</v>
      </c>
      <c r="E17" s="345">
        <v>0.1</v>
      </c>
      <c r="F17" s="345">
        <v>0.1</v>
      </c>
      <c r="G17" s="345">
        <v>0.1</v>
      </c>
      <c r="H17" s="345"/>
      <c r="I17" s="28"/>
      <c r="J17" s="33"/>
      <c r="K17" s="116" t="s">
        <v>369</v>
      </c>
      <c r="L17" s="116" t="s">
        <v>371</v>
      </c>
    </row>
    <row r="18" spans="2:12" x14ac:dyDescent="0.3">
      <c r="B18" s="28"/>
      <c r="C18" s="50" t="s">
        <v>492</v>
      </c>
      <c r="D18" s="264">
        <f>IF(D15&lt;&gt;"",IF(D15=Reference!$V$3,0,D16*(1-D17)),"")</f>
        <v>0</v>
      </c>
      <c r="E18" s="264">
        <f>IF(E15&lt;&gt;"",IF(E15=Reference!$V$3,0,E16*(1-E17)),"")</f>
        <v>0</v>
      </c>
      <c r="F18" s="264">
        <f>IF(F15&lt;&gt;"",IF(F15=Reference!$V$3,0,F16*(1-F17)),"")</f>
        <v>0</v>
      </c>
      <c r="G18" s="264">
        <f>IF(G15&lt;&gt;"",IF(G15=Reference!$V$3,0,G16*(1-G17)),"")</f>
        <v>13.5</v>
      </c>
      <c r="H18" s="264" t="str">
        <f>IF(H15&lt;&gt;"",IF(H15=Reference!$V$3,0,H16*(1-H17)),"")</f>
        <v/>
      </c>
      <c r="I18" s="28"/>
      <c r="J18" s="33"/>
      <c r="K18" s="113" t="s">
        <v>375</v>
      </c>
      <c r="L18" s="113"/>
    </row>
    <row r="19" spans="2:12" x14ac:dyDescent="0.3">
      <c r="B19" s="28"/>
      <c r="C19" s="50" t="s">
        <v>393</v>
      </c>
      <c r="D19" s="333">
        <v>0</v>
      </c>
      <c r="E19" s="333">
        <v>0</v>
      </c>
      <c r="F19" s="333">
        <v>0</v>
      </c>
      <c r="G19" s="333">
        <v>100</v>
      </c>
      <c r="H19" s="333"/>
      <c r="I19" s="28"/>
      <c r="J19" s="33"/>
      <c r="K19" s="113"/>
      <c r="L19" s="113"/>
    </row>
    <row r="20" spans="2:12" x14ac:dyDescent="0.3">
      <c r="B20" s="28"/>
      <c r="C20" s="106" t="s">
        <v>341</v>
      </c>
      <c r="D20" s="264">
        <f>IF(D15&lt;&gt;"",IF(D15=Reference!$V$3,0,SUM(D18*D7,D19)),"")</f>
        <v>0</v>
      </c>
      <c r="E20" s="264">
        <f>IF(E15&lt;&gt;"",IF(E15=Reference!$V$3,0,SUM(E18*E7,E19)),"")</f>
        <v>0</v>
      </c>
      <c r="F20" s="264">
        <f>IF(F15&lt;&gt;"",IF(F15=Reference!$V$3,0,SUM(F18*F7,F19)),"")</f>
        <v>0</v>
      </c>
      <c r="G20" s="264">
        <f>IF(G15&lt;&gt;"",IF(G15=Reference!$V$3,0,SUM(G18*G7,G19)),"")</f>
        <v>4825</v>
      </c>
      <c r="H20" s="264" t="str">
        <f>IF(H15&lt;&gt;"",IF(H15=Reference!$V$3,0,SUM(H18*H7,H19)),"")</f>
        <v/>
      </c>
      <c r="I20" s="28"/>
      <c r="J20" s="33"/>
      <c r="K20" s="45" t="s">
        <v>376</v>
      </c>
      <c r="L20" s="45" t="s">
        <v>378</v>
      </c>
    </row>
    <row r="21" spans="2:12" x14ac:dyDescent="0.3">
      <c r="B21" s="28"/>
      <c r="C21" s="44" t="s">
        <v>403</v>
      </c>
      <c r="D21" s="264">
        <f>IF(D8&lt;&gt;"",D12-D20,"")</f>
        <v>0</v>
      </c>
      <c r="E21" s="264">
        <f t="shared" ref="E21:H21" si="1">IF(E8&lt;&gt;"",E12-E20,"")</f>
        <v>0</v>
      </c>
      <c r="F21" s="264">
        <f t="shared" si="1"/>
        <v>0</v>
      </c>
      <c r="G21" s="264">
        <f t="shared" si="1"/>
        <v>175</v>
      </c>
      <c r="H21" s="264" t="str">
        <f t="shared" si="1"/>
        <v/>
      </c>
      <c r="I21" s="28"/>
      <c r="J21" s="33"/>
      <c r="K21" s="116" t="s">
        <v>373</v>
      </c>
      <c r="L21" s="146">
        <v>0.1</v>
      </c>
    </row>
    <row r="22" spans="2:12" x14ac:dyDescent="0.3">
      <c r="B22" s="28"/>
      <c r="C22" s="28"/>
      <c r="D22" s="28"/>
      <c r="E22" s="28"/>
      <c r="F22" s="28"/>
      <c r="G22" s="28"/>
      <c r="H22" s="28"/>
      <c r="I22" s="28"/>
      <c r="J22" s="33"/>
      <c r="K22" s="116" t="s">
        <v>374</v>
      </c>
      <c r="L22" s="146">
        <v>0.25</v>
      </c>
    </row>
    <row r="24" spans="2:12" x14ac:dyDescent="0.3">
      <c r="F24" s="143" t="str">
        <f>"Management Cost Analysis ("&amp;Currency&amp;" Cost / Month)"</f>
        <v>Management Cost Analysis (USD Cost / Month)</v>
      </c>
    </row>
  </sheetData>
  <sheetProtection sheet="1" objects="1" scenarios="1" formatCells="0" formatColumns="0" formatRows="0"/>
  <mergeCells count="2">
    <mergeCell ref="B1:I1"/>
    <mergeCell ref="B2:I2"/>
  </mergeCells>
  <dataValidations count="2">
    <dataValidation type="decimal" operator="greaterThanOrEqual" allowBlank="1" showInputMessage="1" showErrorMessage="1" error="Please input 0 or positive value." sqref="D12:H12" xr:uid="{2E4C2E98-68E3-4BE2-A961-8E19C5D8B3F7}">
      <formula1>0</formula1>
    </dataValidation>
    <dataValidation operator="greaterThanOrEqual" allowBlank="1" showInputMessage="1" showErrorMessage="1" error="Please input 0 or positive value." sqref="D8:H11" xr:uid="{6D440ABE-BC88-4019-9995-585D99959F68}"/>
  </dataValidations>
  <pageMargins left="0.7" right="0.7" top="0.75" bottom="0.75" header="0.3" footer="0.3"/>
  <pageSetup scale="60" orientation="landscape" horizontalDpi="300" verticalDpi="3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7346355C-4706-4FC3-844F-99DA34565DF7}">
            <xm:f>Currency=Reference!$G$11</xm:f>
            <x14:dxf>
              <numFmt numFmtId="177" formatCode="[$DKK]\ #,##0.00_);[Red]\([$DKK]\ #,##0.00\)"/>
            </x14:dxf>
          </x14:cfRule>
          <x14:cfRule type="expression" priority="6" id="{93F03C54-A887-4D22-868E-A6B97F5CB73B}">
            <xm:f>Currency=Reference!$G$10</xm:f>
            <x14:dxf>
              <numFmt numFmtId="176" formatCode="[$JPY]\ #,##0.00_);[Red]\([$JPY]\ #,##0.00\)"/>
            </x14:dxf>
          </x14:cfRule>
          <x14:cfRule type="expression" priority="7" id="{47062F83-A3D7-4127-B12E-AD4CFF7E737F}">
            <xm:f>Currency=Reference!$G$9</xm:f>
            <x14:dxf>
              <numFmt numFmtId="175" formatCode="[$CAD]\ #,##0.00_);[Red]\([$CAD]\ #,##0.00\)"/>
            </x14:dxf>
          </x14:cfRule>
          <x14:cfRule type="expression" priority="8" id="{997A562D-6788-47B8-B1BC-BD6994093AEB}">
            <xm:f>Currency=Reference!$G$8</xm:f>
            <x14:dxf>
              <numFmt numFmtId="174" formatCode="[$HKD]\ #,##0.00_);[Red]\([$HKD]\ #,##0.00\)"/>
            </x14:dxf>
          </x14:cfRule>
          <x14:cfRule type="expression" priority="9" id="{7DB5E590-773C-49A1-9CD0-FC879C6B4716}">
            <xm:f>Currency=Reference!$G$6</xm:f>
            <x14:dxf>
              <numFmt numFmtId="173" formatCode="[$GBP]\ #,##0.00_);[Red]\([$GBP]\ #,##0.00\)"/>
            </x14:dxf>
          </x14:cfRule>
          <x14:cfRule type="expression" priority="10" id="{8180CDBB-70D5-44ED-BA17-D2B8AB5F0BEE}">
            <xm:f>Currency=Reference!$G$5</xm:f>
            <x14:dxf>
              <numFmt numFmtId="172" formatCode="[$EUR]\ #,##0.00_);[Red]\([$EUR]\ #,##0.00\)"/>
            </x14:dxf>
          </x14:cfRule>
          <x14:cfRule type="expression" priority="11" id="{850F97C0-D435-4181-BDA4-8743057F7E42}">
            <xm:f>Currency=Reference!$G$4</xm:f>
            <x14:dxf>
              <numFmt numFmtId="171" formatCode="[$AUD]\ #,##0.00_);[Red]\([$AUD]\ #,##0.00\)"/>
            </x14:dxf>
          </x14:cfRule>
          <x14:cfRule type="expression" priority="12" id="{A26EC629-3640-494B-A05E-4444C293DFF8}">
            <xm:f>Currency=Reference!$G$3</xm:f>
            <x14:dxf>
              <numFmt numFmtId="170" formatCode="[$NZD]\ #,##0.00_);[Red]\([$NZD]\ #,##0.00\)"/>
            </x14:dxf>
          </x14:cfRule>
          <xm:sqref>D16:H16 D18:H21 D9:H12</xm:sqref>
        </x14:conditionalFormatting>
        <x14:conditionalFormatting xmlns:xm="http://schemas.microsoft.com/office/excel/2006/main">
          <x14:cfRule type="expression" priority="4" id="{A8C3181F-859E-437A-A81A-BE33DDBC2A81}">
            <xm:f>D$15=Reference!$V$3</xm:f>
            <x14:dxf>
              <font>
                <color theme="1" tint="0.499984740745262"/>
              </font>
              <fill>
                <patternFill>
                  <bgColor theme="1" tint="0.499984740745262"/>
                </patternFill>
              </fill>
            </x14:dxf>
          </x14:cfRule>
          <xm:sqref>D16:H19</xm:sqref>
        </x14:conditionalFormatting>
        <x14:conditionalFormatting xmlns:xm="http://schemas.microsoft.com/office/excel/2006/main">
          <x14:cfRule type="expression" priority="2" id="{92830CAF-D13B-4750-93F2-0B8EB9E74ABF}">
            <xm:f>D$15=Reference!$V$3</xm:f>
            <x14:dxf>
              <font>
                <color theme="1" tint="0.499984740745262"/>
              </font>
              <fill>
                <patternFill>
                  <bgColor theme="1" tint="0.499984740745262"/>
                </patternFill>
              </fill>
            </x14:dxf>
          </x14:cfRule>
          <xm:sqref>D19:H19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8C4FE2D-9618-4D10-B724-E044D6E198C3}">
          <x14:formula1>
            <xm:f>Reference!$V$3:$V$5</xm:f>
          </x14:formula1>
          <xm:sqref>D15:H15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E33A8-3E06-402B-8B9F-3F5191D3E2AB}">
  <sheetPr codeName="Sheet16">
    <tabColor rgb="FF92D050"/>
    <pageSetUpPr fitToPage="1"/>
  </sheetPr>
  <dimension ref="B1:N216"/>
  <sheetViews>
    <sheetView showGridLines="0" topLeftCell="A58" zoomScale="85" zoomScaleNormal="85" workbookViewId="0"/>
  </sheetViews>
  <sheetFormatPr defaultColWidth="9" defaultRowHeight="16.5" x14ac:dyDescent="0.3"/>
  <cols>
    <col min="1" max="2" width="1.85546875" style="27" customWidth="1"/>
    <col min="3" max="3" width="55.85546875" style="27" customWidth="1"/>
    <col min="4" max="8" width="26.85546875" style="27" customWidth="1"/>
    <col min="9" max="9" width="1.85546875" style="27" customWidth="1"/>
    <col min="10" max="10" width="1.85546875" style="32" customWidth="1"/>
    <col min="11" max="11" width="40.42578125" style="27" customWidth="1"/>
    <col min="12" max="12" width="14.5703125" style="27" customWidth="1"/>
    <col min="13" max="13" width="11.28515625" style="27" customWidth="1"/>
    <col min="14" max="16384" width="9" style="27"/>
  </cols>
  <sheetData>
    <row r="1" spans="2:12" ht="35.1" customHeight="1" x14ac:dyDescent="0.3">
      <c r="B1" s="373" t="s">
        <v>550</v>
      </c>
      <c r="C1" s="373"/>
      <c r="D1" s="373"/>
      <c r="E1" s="373"/>
      <c r="F1" s="373"/>
      <c r="G1" s="373"/>
      <c r="H1" s="373"/>
      <c r="I1" s="373"/>
      <c r="J1" s="117"/>
    </row>
    <row r="2" spans="2:12" ht="17.25" x14ac:dyDescent="0.3">
      <c r="B2" s="374" t="e">
        <f ca="1">MID(CELL("filename",B1),FIND("]",CELL("filename",B1))+1,255)</f>
        <v>#VALUE!</v>
      </c>
      <c r="C2" s="374"/>
      <c r="D2" s="374"/>
      <c r="E2" s="374"/>
      <c r="F2" s="374"/>
      <c r="G2" s="374"/>
      <c r="H2" s="374"/>
      <c r="I2" s="374"/>
      <c r="J2" s="118"/>
    </row>
    <row r="3" spans="2:12" ht="16.899999999999999" customHeight="1" x14ac:dyDescent="0.3">
      <c r="C3" s="26"/>
      <c r="K3" s="31" t="s">
        <v>156</v>
      </c>
    </row>
    <row r="4" spans="2:12" ht="20.25" x14ac:dyDescent="0.3">
      <c r="B4" s="30"/>
      <c r="C4" s="30" t="s">
        <v>417</v>
      </c>
      <c r="D4" s="28"/>
      <c r="E4" s="28"/>
      <c r="F4" s="28"/>
      <c r="G4" s="41"/>
      <c r="H4" s="41"/>
      <c r="I4" s="41"/>
      <c r="K4" s="83" t="s">
        <v>283</v>
      </c>
    </row>
    <row r="5" spans="2:12" ht="20.25" x14ac:dyDescent="0.3">
      <c r="B5" s="30"/>
      <c r="C5" s="30"/>
      <c r="D5" s="28"/>
      <c r="E5" s="28"/>
      <c r="F5" s="41"/>
      <c r="G5" s="41"/>
      <c r="H5" s="41"/>
      <c r="I5" s="41"/>
      <c r="K5" s="243" t="s">
        <v>284</v>
      </c>
    </row>
    <row r="6" spans="2:12" ht="20.25" x14ac:dyDescent="0.3">
      <c r="B6" s="30"/>
      <c r="C6" s="30"/>
      <c r="D6" s="30"/>
      <c r="E6" s="28"/>
      <c r="F6" s="41"/>
      <c r="G6" s="41"/>
      <c r="H6" s="41"/>
      <c r="I6" s="41"/>
      <c r="K6" s="84" t="s">
        <v>288</v>
      </c>
    </row>
    <row r="7" spans="2:12" ht="20.25" x14ac:dyDescent="0.3">
      <c r="B7" s="30"/>
      <c r="C7" s="30"/>
      <c r="D7" s="30"/>
      <c r="E7" s="28"/>
      <c r="F7" s="41"/>
      <c r="G7" s="41"/>
      <c r="H7" s="41"/>
      <c r="I7" s="41"/>
      <c r="K7" s="85" t="s">
        <v>158</v>
      </c>
      <c r="L7" s="113"/>
    </row>
    <row r="8" spans="2:12" ht="20.25" x14ac:dyDescent="0.3">
      <c r="B8" s="30"/>
      <c r="C8" s="41"/>
      <c r="D8" s="48" t="s">
        <v>126</v>
      </c>
      <c r="E8" s="48" t="s">
        <v>132</v>
      </c>
      <c r="F8" s="48" t="s">
        <v>133</v>
      </c>
      <c r="G8" s="48" t="s">
        <v>134</v>
      </c>
      <c r="H8" s="48" t="s">
        <v>135</v>
      </c>
      <c r="I8" s="41"/>
      <c r="K8" s="86" t="s">
        <v>326</v>
      </c>
    </row>
    <row r="9" spans="2:12" ht="18.600000000000001" customHeight="1" x14ac:dyDescent="0.3">
      <c r="B9" s="30"/>
      <c r="C9" s="49" t="s">
        <v>526</v>
      </c>
      <c r="D9" s="314" t="s">
        <v>97</v>
      </c>
      <c r="E9" s="314" t="s">
        <v>97</v>
      </c>
      <c r="F9" s="314" t="s">
        <v>97</v>
      </c>
      <c r="G9" s="314" t="s">
        <v>97</v>
      </c>
      <c r="H9" s="314"/>
      <c r="I9" s="41"/>
      <c r="J9" s="294" t="s">
        <v>527</v>
      </c>
    </row>
    <row r="10" spans="2:12" ht="18.600000000000001" customHeight="1" x14ac:dyDescent="0.3">
      <c r="B10" s="30"/>
      <c r="C10" s="163" t="s">
        <v>12</v>
      </c>
      <c r="D10" s="133" t="str">
        <f>IF(D12&lt;&gt;"",'1. Opportunity Profile'!$D$7,"")</f>
        <v>USD</v>
      </c>
      <c r="E10" s="133" t="str">
        <f>IF(E12&lt;&gt;"",'1. Opportunity Profile'!$D$7,"")</f>
        <v>USD</v>
      </c>
      <c r="F10" s="133" t="str">
        <f>IF(F12&lt;&gt;"",'1. Opportunity Profile'!$D$7,"")</f>
        <v>USD</v>
      </c>
      <c r="G10" s="133" t="str">
        <f>IF(G12&lt;&gt;"",'1. Opportunity Profile'!$D$7,"")</f>
        <v>USD</v>
      </c>
      <c r="H10" s="133" t="str">
        <f>IF(H12&lt;&gt;"",'1. Opportunity Profile'!$D$7,"")</f>
        <v/>
      </c>
      <c r="I10" s="41"/>
    </row>
    <row r="11" spans="2:12" ht="18.600000000000001" customHeight="1" x14ac:dyDescent="0.3">
      <c r="B11" s="30"/>
      <c r="C11" s="106" t="s">
        <v>212</v>
      </c>
      <c r="D11" s="133" t="str">
        <f>IF('1. Opportunity Profile'!D19&lt;&gt;"",'1. Opportunity Profile'!D19,"")</f>
        <v>Light</v>
      </c>
      <c r="E11" s="133" t="str">
        <f>IF('1. Opportunity Profile'!E19&lt;&gt;"",'1. Opportunity Profile'!E19,"")</f>
        <v>Heavy</v>
      </c>
      <c r="F11" s="133" t="str">
        <f>IF('1. Opportunity Profile'!F19&lt;&gt;"",'1. Opportunity Profile'!F19,"")</f>
        <v>Medium</v>
      </c>
      <c r="G11" s="133" t="str">
        <f>IF('1. Opportunity Profile'!G19&lt;&gt;"",'1. Opportunity Profile'!G19,"")</f>
        <v>Medium</v>
      </c>
      <c r="H11" s="133" t="str">
        <f>IF('1. Opportunity Profile'!H19&lt;&gt;"",'1. Opportunity Profile'!H19,"")</f>
        <v/>
      </c>
      <c r="I11" s="41"/>
    </row>
    <row r="12" spans="2:12" ht="18.600000000000001" customHeight="1" x14ac:dyDescent="0.3">
      <c r="B12" s="30"/>
      <c r="C12" s="106" t="str">
        <f>'1. Opportunity Profile'!C20</f>
        <v>Named (total) users</v>
      </c>
      <c r="D12" s="164">
        <f>IF('1. Opportunity Profile'!D20&lt;&gt;"",'1. Opportunity Profile'!D20,"")</f>
        <v>500</v>
      </c>
      <c r="E12" s="164">
        <f>IF('1. Opportunity Profile'!E20&lt;&gt;"",'1. Opportunity Profile'!E20,"")</f>
        <v>150</v>
      </c>
      <c r="F12" s="164">
        <f>IF('1. Opportunity Profile'!F20&lt;&gt;"",'1. Opportunity Profile'!F20,"")</f>
        <v>350</v>
      </c>
      <c r="G12" s="164">
        <f>IF('1. Opportunity Profile'!G20&lt;&gt;"",'1. Opportunity Profile'!G20,"")</f>
        <v>350</v>
      </c>
      <c r="H12" s="164" t="str">
        <f>IF('1. Opportunity Profile'!H20&lt;&gt;"",'1. Opportunity Profile'!H20,"")</f>
        <v/>
      </c>
      <c r="I12" s="41"/>
    </row>
    <row r="13" spans="2:12" ht="18.600000000000001" customHeight="1" x14ac:dyDescent="0.3">
      <c r="B13" s="30"/>
      <c r="C13" s="41"/>
      <c r="D13" s="38"/>
      <c r="E13" s="38"/>
      <c r="F13" s="38"/>
      <c r="G13" s="38"/>
      <c r="H13" s="38"/>
      <c r="I13" s="41"/>
    </row>
    <row r="14" spans="2:12" ht="18.600000000000001" customHeight="1" x14ac:dyDescent="0.3">
      <c r="B14" s="122"/>
      <c r="C14" s="157"/>
      <c r="D14" s="250"/>
      <c r="E14" s="250"/>
      <c r="F14" s="250"/>
      <c r="G14" s="250"/>
      <c r="H14" s="250"/>
      <c r="I14" s="157"/>
    </row>
    <row r="15" spans="2:12" ht="18.600000000000001" customHeight="1" x14ac:dyDescent="0.3">
      <c r="B15" s="30"/>
      <c r="C15" s="270" t="s">
        <v>446</v>
      </c>
      <c r="D15" s="38"/>
      <c r="E15" s="38"/>
      <c r="F15" s="38"/>
      <c r="G15" s="38"/>
      <c r="H15" s="38"/>
      <c r="I15" s="41"/>
    </row>
    <row r="16" spans="2:12" ht="18.600000000000001" customHeight="1" x14ac:dyDescent="0.3">
      <c r="B16" s="30"/>
      <c r="C16" s="41"/>
      <c r="D16" s="38"/>
      <c r="E16" s="38"/>
      <c r="F16" s="38"/>
      <c r="G16" s="38"/>
      <c r="H16" s="38"/>
      <c r="I16" s="41"/>
    </row>
    <row r="17" spans="2:12" ht="18.600000000000001" customHeight="1" x14ac:dyDescent="0.3">
      <c r="B17" s="30"/>
      <c r="C17" s="165" t="s">
        <v>549</v>
      </c>
      <c r="D17" s="159"/>
      <c r="E17" s="160"/>
      <c r="F17" s="160"/>
      <c r="G17" s="160"/>
      <c r="H17" s="160"/>
      <c r="I17" s="41"/>
    </row>
    <row r="18" spans="2:12" ht="18.600000000000001" customHeight="1" x14ac:dyDescent="0.3">
      <c r="B18" s="30"/>
      <c r="C18" s="50" t="s">
        <v>106</v>
      </c>
      <c r="D18" s="166">
        <f>IF('1. Opportunity Profile'!D23&lt;&gt;"",'1. Opportunity Profile'!D23,"")</f>
        <v>0.8</v>
      </c>
      <c r="E18" s="166">
        <f>IF('1. Opportunity Profile'!E23&lt;&gt;"",'1. Opportunity Profile'!E23,"")</f>
        <v>0.8</v>
      </c>
      <c r="F18" s="166">
        <f>IF('1. Opportunity Profile'!F23&lt;&gt;"",'1. Opportunity Profile'!F23,"")</f>
        <v>0.9</v>
      </c>
      <c r="G18" s="166">
        <f>IF('1. Opportunity Profile'!G23&lt;&gt;"",'1. Opportunity Profile'!G23,"")</f>
        <v>0.9</v>
      </c>
      <c r="H18" s="166" t="str">
        <f>IF('1. Opportunity Profile'!H23&lt;&gt;"",'1. Opportunity Profile'!H23,"")</f>
        <v/>
      </c>
      <c r="I18" s="41"/>
      <c r="K18" s="77" t="s">
        <v>138</v>
      </c>
      <c r="L18" s="32"/>
    </row>
    <row r="19" spans="2:12" ht="18.600000000000001" customHeight="1" x14ac:dyDescent="0.3">
      <c r="B19" s="30"/>
      <c r="C19" s="50" t="s">
        <v>118</v>
      </c>
      <c r="D19" s="138">
        <f>IF(D12&lt;&gt;"",D12*D18,"")</f>
        <v>400</v>
      </c>
      <c r="E19" s="138">
        <f>IF(E12&lt;&gt;"",E12*E18,"")</f>
        <v>120</v>
      </c>
      <c r="F19" s="138">
        <f>IF(F12&lt;&gt;"",F12*F18,"")</f>
        <v>315</v>
      </c>
      <c r="G19" s="138">
        <f>IF(G12&lt;&gt;"",G12*G18,"")</f>
        <v>315</v>
      </c>
      <c r="H19" s="138" t="str">
        <f>IF(H12&lt;&gt;"",H12*H18,"")</f>
        <v/>
      </c>
      <c r="I19" s="41"/>
      <c r="K19" s="49" t="s">
        <v>323</v>
      </c>
      <c r="L19" s="54">
        <v>730</v>
      </c>
    </row>
    <row r="20" spans="2:12" ht="18.600000000000001" customHeight="1" x14ac:dyDescent="0.3">
      <c r="B20" s="30"/>
      <c r="C20" s="50" t="s">
        <v>107</v>
      </c>
      <c r="D20" s="166">
        <f>IF('1. Opportunity Profile'!D24&lt;&gt;"",'1. Opportunity Profile'!D24,"")</f>
        <v>0</v>
      </c>
      <c r="E20" s="166">
        <f>IF('1. Opportunity Profile'!E24&lt;&gt;"",'1. Opportunity Profile'!E24,"")</f>
        <v>0</v>
      </c>
      <c r="F20" s="166">
        <f>IF('1. Opportunity Profile'!F24&lt;&gt;"",'1. Opportunity Profile'!F24,"")</f>
        <v>0.05</v>
      </c>
      <c r="G20" s="166">
        <f>IF('1. Opportunity Profile'!G24&lt;&gt;"",'1. Opportunity Profile'!G24,"")</f>
        <v>0.1</v>
      </c>
      <c r="H20" s="166" t="str">
        <f>IF('1. Opportunity Profile'!H24&lt;&gt;"",'1. Opportunity Profile'!H24,"")</f>
        <v/>
      </c>
      <c r="I20" s="41"/>
      <c r="K20" s="49" t="s">
        <v>117</v>
      </c>
      <c r="L20" s="54">
        <v>304</v>
      </c>
    </row>
    <row r="21" spans="2:12" ht="18.600000000000001" customHeight="1" x14ac:dyDescent="0.3">
      <c r="B21" s="30"/>
      <c r="C21" s="50" t="s">
        <v>119</v>
      </c>
      <c r="D21" s="138">
        <f>IF(D12&lt;&gt;"",D12*D20,"")</f>
        <v>0</v>
      </c>
      <c r="E21" s="138">
        <f>IF(E12&lt;&gt;"",E12*E20,"")</f>
        <v>0</v>
      </c>
      <c r="F21" s="138">
        <f>IF(F12&lt;&gt;"",F12*F20,"")</f>
        <v>17.5</v>
      </c>
      <c r="G21" s="138">
        <f>IF(G12&lt;&gt;"",G12*G20,"")</f>
        <v>35</v>
      </c>
      <c r="H21" s="138" t="str">
        <f>IF(H12&lt;&gt;"",H12*H20,"")</f>
        <v/>
      </c>
      <c r="I21" s="41"/>
      <c r="K21" s="49" t="s">
        <v>231</v>
      </c>
      <c r="L21" s="54">
        <v>1</v>
      </c>
    </row>
    <row r="22" spans="2:12" ht="18.600000000000001" customHeight="1" x14ac:dyDescent="0.3">
      <c r="B22" s="30"/>
      <c r="C22" s="50" t="s">
        <v>108</v>
      </c>
      <c r="D22" s="138">
        <f>IF('1. Opportunity Profile'!D25&lt;&gt;"",'1. Opportunity Profile'!D25,"")</f>
        <v>12</v>
      </c>
      <c r="E22" s="138">
        <f>IF('1. Opportunity Profile'!E25&lt;&gt;"",'1. Opportunity Profile'!E25,"")</f>
        <v>12</v>
      </c>
      <c r="F22" s="138">
        <f>IF('1. Opportunity Profile'!F25&lt;&gt;"",'1. Opportunity Profile'!F25,"")</f>
        <v>12</v>
      </c>
      <c r="G22" s="138">
        <f>IF('1. Opportunity Profile'!G25&lt;&gt;"",'1. Opportunity Profile'!G25,"")</f>
        <v>12</v>
      </c>
      <c r="H22" s="138" t="str">
        <f>IF('1. Opportunity Profile'!H25&lt;&gt;"",'1. Opportunity Profile'!H25,"")</f>
        <v/>
      </c>
      <c r="I22" s="41"/>
    </row>
    <row r="23" spans="2:12" ht="18.600000000000001" customHeight="1" x14ac:dyDescent="0.3">
      <c r="B23" s="30"/>
      <c r="C23" s="50" t="s">
        <v>109</v>
      </c>
      <c r="D23" s="138">
        <f>IF('1. Opportunity Profile'!D26&lt;&gt;"",'1. Opportunity Profile'!D26,"")</f>
        <v>5</v>
      </c>
      <c r="E23" s="138">
        <f>IF('1. Opportunity Profile'!E26&lt;&gt;"",'1. Opportunity Profile'!E26,"")</f>
        <v>7</v>
      </c>
      <c r="F23" s="138">
        <f>IF('1. Opportunity Profile'!F26&lt;&gt;"",'1. Opportunity Profile'!F26,"")</f>
        <v>5</v>
      </c>
      <c r="G23" s="138">
        <f>IF('1. Opportunity Profile'!G26&lt;&gt;"",'1. Opportunity Profile'!G26,"")</f>
        <v>7</v>
      </c>
      <c r="H23" s="138" t="str">
        <f>IF('1. Opportunity Profile'!H26&lt;&gt;"",'1. Opportunity Profile'!H26,"")</f>
        <v/>
      </c>
      <c r="I23" s="41"/>
    </row>
    <row r="24" spans="2:12" ht="18.600000000000001" customHeight="1" x14ac:dyDescent="0.3">
      <c r="B24" s="30"/>
      <c r="C24" s="50" t="s">
        <v>110</v>
      </c>
      <c r="D24" s="138">
        <f>IF(D22&lt;&gt;"",D22*D23*52/12,"")</f>
        <v>260</v>
      </c>
      <c r="E24" s="138">
        <f t="shared" ref="E24:H24" si="0">IF(E22&lt;&gt;"",E22*E23*52/12,"")</f>
        <v>364</v>
      </c>
      <c r="F24" s="138">
        <f t="shared" si="0"/>
        <v>260</v>
      </c>
      <c r="G24" s="138">
        <f t="shared" si="0"/>
        <v>364</v>
      </c>
      <c r="H24" s="138" t="str">
        <f t="shared" si="0"/>
        <v/>
      </c>
      <c r="I24" s="41"/>
    </row>
    <row r="25" spans="2:12" ht="18.600000000000001" customHeight="1" x14ac:dyDescent="0.3">
      <c r="B25" s="30"/>
      <c r="C25" s="50" t="s">
        <v>111</v>
      </c>
      <c r="D25" s="138">
        <f>IF(D24&lt;&gt;"",$L$19-D24,"")</f>
        <v>470</v>
      </c>
      <c r="E25" s="138">
        <f>IF(E24&lt;&gt;"",$L$19-E24,"")</f>
        <v>366</v>
      </c>
      <c r="F25" s="138">
        <f>IF(F24&lt;&gt;"",$L$19-F24,"")</f>
        <v>470</v>
      </c>
      <c r="G25" s="138">
        <f>IF(G24&lt;&gt;"",$L$19-G24,"")</f>
        <v>366</v>
      </c>
      <c r="H25" s="138" t="str">
        <f>IF(H24&lt;&gt;"",$L$19-H24,"")</f>
        <v/>
      </c>
      <c r="I25" s="41"/>
    </row>
    <row r="26" spans="2:12" ht="18.600000000000001" customHeight="1" x14ac:dyDescent="0.3">
      <c r="B26" s="30"/>
      <c r="C26" s="30"/>
      <c r="D26" s="158"/>
      <c r="E26" s="158"/>
      <c r="F26" s="158"/>
      <c r="G26" s="158"/>
      <c r="H26" s="158"/>
      <c r="I26" s="41"/>
    </row>
    <row r="27" spans="2:12" ht="18.600000000000001" customHeight="1" x14ac:dyDescent="0.3">
      <c r="B27" s="30"/>
      <c r="C27" s="63" t="s">
        <v>211</v>
      </c>
      <c r="D27" s="133" t="str">
        <f>IF('1. Opportunity Profile'!D16&lt;&gt;"",'1. Opportunity Profile'!D16,"")</f>
        <v>Windows 10 multi-session</v>
      </c>
      <c r="E27" s="133" t="str">
        <f>IF('1. Opportunity Profile'!E16&lt;&gt;"",'1. Opportunity Profile'!E16,"")</f>
        <v>Windows Server</v>
      </c>
      <c r="F27" s="133" t="str">
        <f>IF('1. Opportunity Profile'!F16&lt;&gt;"",'1. Opportunity Profile'!F16,"")</f>
        <v>Windows 10 multi-session</v>
      </c>
      <c r="G27" s="133" t="str">
        <f>IF('1. Opportunity Profile'!G16&lt;&gt;"",'1. Opportunity Profile'!G16,"")</f>
        <v>Windows 10</v>
      </c>
      <c r="H27" s="133" t="str">
        <f>IF('1. Opportunity Profile'!H16&lt;&gt;"",'1. Opportunity Profile'!H16,"")</f>
        <v/>
      </c>
      <c r="I27" s="88"/>
      <c r="J27" s="132"/>
    </row>
    <row r="28" spans="2:12" ht="18.600000000000001" customHeight="1" x14ac:dyDescent="0.3">
      <c r="B28" s="30"/>
      <c r="C28" s="50" t="s">
        <v>458</v>
      </c>
      <c r="D28" s="138" t="str">
        <f>IF(D27&lt;&gt;"",IF(OR(D27=Reference!$T$6,D27=Reference!$T$5),Reference!$W$3,'1. Opportunity Profile'!D27),"")</f>
        <v>Pooled</v>
      </c>
      <c r="E28" s="138" t="str">
        <f>IF(E27&lt;&gt;"",IF(OR(E27=Reference!$T$6,E27=Reference!$T$5),Reference!$W$3,'1. Opportunity Profile'!E27),"")</f>
        <v>Pooled</v>
      </c>
      <c r="F28" s="138" t="str">
        <f>IF(F27&lt;&gt;"",IF(OR(F27=Reference!$T$6,F27=Reference!$T$5),Reference!$W$3,'1. Opportunity Profile'!F27),"")</f>
        <v>Pooled</v>
      </c>
      <c r="G28" s="138" t="str">
        <f>IF(G27&lt;&gt;"",IF(OR(G27=Reference!$T$6,G27=Reference!$T$5),Reference!$W$3,'1. Opportunity Profile'!G27),"")</f>
        <v>Pooled</v>
      </c>
      <c r="H28" s="138" t="str">
        <f>IF(H27&lt;&gt;"",IF(OR(H27=Reference!$T$6,H27=Reference!$T$5),Reference!$W$3,'1. Opportunity Profile'!H27),"")</f>
        <v/>
      </c>
      <c r="I28" s="89"/>
      <c r="J28" s="153"/>
    </row>
    <row r="29" spans="2:12" ht="18.600000000000001" customHeight="1" x14ac:dyDescent="0.3">
      <c r="B29" s="30"/>
      <c r="C29" s="50" t="s">
        <v>290</v>
      </c>
      <c r="D29" s="167" t="str">
        <f>IF(D27&lt;&gt;"",IF(D28=Reference!$W$4,Reference!$I$4,VLOOKUP(D27,'Default Values (MSFT Guidance)'!$B$24:$C$27,2,FALSE)),"")</f>
        <v>Multi-session</v>
      </c>
      <c r="E29" s="167" t="str">
        <f>IF(E27&lt;&gt;"",IF(E28=Reference!$W$4,Reference!$I$4,VLOOKUP(E27,'Default Values (MSFT Guidance)'!$B$24:$C$27,2,FALSE)),"")</f>
        <v>Multi-session</v>
      </c>
      <c r="F29" s="167" t="str">
        <f>IF(F27&lt;&gt;"",IF(F28=Reference!$W$4,Reference!$I$4,VLOOKUP(F27,'Default Values (MSFT Guidance)'!$B$24:$C$27,2,FALSE)),"")</f>
        <v>Multi-session</v>
      </c>
      <c r="G29" s="167" t="str">
        <f>IF(G27&lt;&gt;"",IF(G28=Reference!$W$4,Reference!$I$4,VLOOKUP(G27,'Default Values (MSFT Guidance)'!$B$24:$C$27,2,FALSE)),"")</f>
        <v>Single-session</v>
      </c>
      <c r="H29" s="167" t="str">
        <f>IF(H27&lt;&gt;"",IF(H28=Reference!$W$4,Reference!$I$4,VLOOKUP(H27,'Default Values (MSFT Guidance)'!$B$24:$C$27,2,FALSE)),"")</f>
        <v/>
      </c>
      <c r="I29" s="88"/>
      <c r="J29" s="132"/>
    </row>
    <row r="30" spans="2:12" ht="18.600000000000001" customHeight="1" x14ac:dyDescent="0.3">
      <c r="B30" s="30"/>
      <c r="C30" s="30"/>
      <c r="D30" s="158"/>
      <c r="E30" s="158"/>
      <c r="F30" s="158"/>
      <c r="G30" s="158"/>
      <c r="H30" s="158"/>
      <c r="I30" s="89"/>
      <c r="J30" s="153"/>
    </row>
    <row r="31" spans="2:12" ht="18.600000000000001" customHeight="1" x14ac:dyDescent="0.3">
      <c r="B31" s="30"/>
      <c r="C31" s="50" t="s">
        <v>442</v>
      </c>
      <c r="D31" s="168">
        <f>IF(D$11&lt;&gt;"",INDEX('Default Values (MSFT Guidance)'!$C$8:$F$21,MATCH($C31,'Default Values (MSFT Guidance)'!$B$8:$B$21,0),MATCH(D$11,'Default Values (MSFT Guidance)'!$C$6:$F$6,0)),"")</f>
        <v>6</v>
      </c>
      <c r="E31" s="228">
        <f>IF(E$11&lt;&gt;"",INDEX('Default Values (MSFT Guidance)'!$C$8:$F$21,MATCH($C31,'Default Values (MSFT Guidance)'!$B$8:$B$21,0),MATCH(E$11,'Default Values (MSFT Guidance)'!$C$6:$F$6,0)),"")</f>
        <v>3</v>
      </c>
      <c r="F31" s="233">
        <f>IF(F$11&lt;&gt;"",INDEX('Default Values (MSFT Guidance)'!$C$8:$F$21,MATCH($C31,'Default Values (MSFT Guidance)'!$B$8:$B$21,0),MATCH(F$11,'Default Values (MSFT Guidance)'!$C$6:$F$6,0)),"")</f>
        <v>4</v>
      </c>
      <c r="G31" s="230">
        <f>IF(G$11&lt;&gt;"",INDEX('Default Values (MSFT Guidance)'!$C$8:$F$21,MATCH($C31,'Default Values (MSFT Guidance)'!$B$8:$B$21,0),MATCH(G$11,'Default Values (MSFT Guidance)'!$C$6:$F$6,0)),"")</f>
        <v>4</v>
      </c>
      <c r="H31" s="168" t="str">
        <f>IF(H$11&lt;&gt;"",INDEX('Default Values (MSFT Guidance)'!$C$8:$F$21,MATCH($C31,'Default Values (MSFT Guidance)'!$B$8:$B$21,0),MATCH(H$11,'Default Values (MSFT Guidance)'!$C$6:$F$6,0)),"")</f>
        <v/>
      </c>
      <c r="I31" s="89"/>
      <c r="J31" s="153"/>
    </row>
    <row r="32" spans="2:12" ht="18.600000000000001" customHeight="1" x14ac:dyDescent="0.3">
      <c r="B32" s="30"/>
      <c r="C32" s="50" t="s">
        <v>443</v>
      </c>
      <c r="D32" s="321"/>
      <c r="E32" s="346"/>
      <c r="F32" s="347"/>
      <c r="G32" s="348"/>
      <c r="H32" s="321"/>
      <c r="I32" s="89"/>
      <c r="J32" s="153"/>
    </row>
    <row r="33" spans="2:14" ht="18.600000000000001" customHeight="1" x14ac:dyDescent="0.3">
      <c r="B33" s="30"/>
      <c r="C33" s="50" t="s">
        <v>444</v>
      </c>
      <c r="D33" s="138">
        <f>IF(D31&lt;&gt;"",IF(D32&lt;&gt;"",D32,D31),"")</f>
        <v>6</v>
      </c>
      <c r="E33" s="229">
        <f t="shared" ref="E33:H33" si="1">IF(E31&lt;&gt;"",IF(E32&lt;&gt;"",E32,E31),"")</f>
        <v>3</v>
      </c>
      <c r="F33" s="234">
        <f t="shared" si="1"/>
        <v>4</v>
      </c>
      <c r="G33" s="231">
        <f t="shared" si="1"/>
        <v>4</v>
      </c>
      <c r="H33" s="138" t="str">
        <f t="shared" si="1"/>
        <v/>
      </c>
      <c r="I33" s="89"/>
      <c r="J33" s="153"/>
    </row>
    <row r="34" spans="2:14" ht="18.600000000000001" customHeight="1" x14ac:dyDescent="0.3">
      <c r="B34" s="30"/>
      <c r="C34" s="169"/>
      <c r="D34" s="235" t="s">
        <v>258</v>
      </c>
      <c r="E34" s="170"/>
      <c r="F34" s="232"/>
      <c r="G34" s="170"/>
      <c r="H34" s="170"/>
      <c r="I34" s="41"/>
    </row>
    <row r="35" spans="2:14" ht="18.600000000000001" customHeight="1" x14ac:dyDescent="0.3">
      <c r="B35" s="30"/>
      <c r="C35" s="64" t="s">
        <v>292</v>
      </c>
      <c r="D35" s="167" t="str">
        <f>IF(D$11&lt;&gt;"",INDEX('Default Values (MSFT Guidance)'!$C$8:$F$21,MATCH($C35&amp;" "&amp;D29,'Default Values (MSFT Guidance)'!$B$8:$B$21,0),MATCH(D$11,'Default Values (MSFT Guidance)'!$C$6:$F$6,0)),"")</f>
        <v>D8s v3</v>
      </c>
      <c r="E35" s="167" t="str">
        <f>IF(E$11&lt;&gt;"",INDEX('Default Values (MSFT Guidance)'!$C$8:$F$21,MATCH($C35&amp;" "&amp;E29,'Default Values (MSFT Guidance)'!$B$8:$B$21,0),MATCH(E$11,'Default Values (MSFT Guidance)'!$C$6:$F$6,0)),"")</f>
        <v>D8s v3</v>
      </c>
      <c r="F35" s="167" t="str">
        <f>IF(F$11&lt;&gt;"",INDEX('Default Values (MSFT Guidance)'!$C$8:$F$21,MATCH($C35&amp;" "&amp;F29,'Default Values (MSFT Guidance)'!$B$8:$B$21,0),MATCH(F$11,'Default Values (MSFT Guidance)'!$C$6:$F$6,0)),"")</f>
        <v>D8s v3</v>
      </c>
      <c r="G35" s="167" t="str">
        <f>IF(G$11&lt;&gt;"",INDEX('Default Values (MSFT Guidance)'!$C$8:$F$21,MATCH($C35&amp;" "&amp;G29,'Default Values (MSFT Guidance)'!$B$8:$B$21,0),MATCH(G$11,'Default Values (MSFT Guidance)'!$C$6:$F$6,0)),"")</f>
        <v>D2s v3</v>
      </c>
      <c r="H35" s="167" t="str">
        <f>IF(H$11&lt;&gt;"",INDEX('Default Values (MSFT Guidance)'!$C$8:$F$21,MATCH($C35&amp;" "&amp;H29,'Default Values (MSFT Guidance)'!$B$8:$B$21,0),MATCH(H$11,'Default Values (MSFT Guidance)'!$C$6:$F$6,0)),"")</f>
        <v/>
      </c>
      <c r="I35" s="89"/>
      <c r="J35" s="153"/>
    </row>
    <row r="36" spans="2:14" ht="18.600000000000001" customHeight="1" x14ac:dyDescent="0.3">
      <c r="B36" s="30"/>
      <c r="C36" s="64" t="s">
        <v>293</v>
      </c>
      <c r="D36" s="349"/>
      <c r="E36" s="349"/>
      <c r="F36" s="349"/>
      <c r="G36" s="349"/>
      <c r="H36" s="349"/>
      <c r="I36" s="89"/>
      <c r="J36" s="153"/>
    </row>
    <row r="37" spans="2:14" ht="18.600000000000001" customHeight="1" x14ac:dyDescent="0.3">
      <c r="B37" s="30"/>
      <c r="C37" s="64" t="s">
        <v>294</v>
      </c>
      <c r="D37" s="138" t="str">
        <f>IF(D35&lt;&gt;"",IF(D36&lt;&gt;"",D36,D35),"")</f>
        <v>D8s v3</v>
      </c>
      <c r="E37" s="138" t="str">
        <f t="shared" ref="E37:H37" si="2">IF(E35&lt;&gt;"",IF(E36&lt;&gt;"",E36,E35),"")</f>
        <v>D8s v3</v>
      </c>
      <c r="F37" s="138" t="str">
        <f t="shared" si="2"/>
        <v>D8s v3</v>
      </c>
      <c r="G37" s="138" t="str">
        <f t="shared" si="2"/>
        <v>D2s v3</v>
      </c>
      <c r="H37" s="138" t="str">
        <f t="shared" si="2"/>
        <v/>
      </c>
      <c r="I37" s="89"/>
      <c r="J37" s="153"/>
    </row>
    <row r="38" spans="2:14" ht="18.600000000000001" hidden="1" customHeight="1" x14ac:dyDescent="0.3">
      <c r="B38" s="30"/>
      <c r="C38" s="64" t="s">
        <v>572</v>
      </c>
      <c r="D38" s="133" t="str">
        <f>IF(D$11&lt;&gt;"","linux-"&amp;LOWER(SUBSTITUTE(D37," ",""))&amp;"-standard","")</f>
        <v>linux-d8sv3-standard</v>
      </c>
      <c r="E38" s="133" t="str">
        <f t="shared" ref="E38:H38" si="3">IF(E$11&lt;&gt;"","linux-"&amp;LOWER(SUBSTITUTE(E37," ",""))&amp;"-standard","")</f>
        <v>linux-d8sv3-standard</v>
      </c>
      <c r="F38" s="133" t="str">
        <f t="shared" si="3"/>
        <v>linux-d8sv3-standard</v>
      </c>
      <c r="G38" s="133" t="str">
        <f t="shared" si="3"/>
        <v>linux-d2sv3-standard</v>
      </c>
      <c r="H38" s="133" t="str">
        <f t="shared" si="3"/>
        <v/>
      </c>
      <c r="I38" s="41"/>
    </row>
    <row r="39" spans="2:14" ht="18.600000000000001" customHeight="1" x14ac:dyDescent="0.3">
      <c r="B39" s="30"/>
      <c r="C39" s="64" t="s">
        <v>445</v>
      </c>
      <c r="D39" s="171" t="e">
        <f ca="1">IF(D$11&lt;&gt;"",getVMData(D38,D$9,D$10,"cores")*1,"")</f>
        <v>#NAME?</v>
      </c>
      <c r="E39" s="171" t="e">
        <f ca="1">IF(E$11&lt;&gt;"",getVMData(E38,E$9,E$10,"cores")*1,"")</f>
        <v>#NAME?</v>
      </c>
      <c r="F39" s="171" t="e">
        <f ca="1">IF(F$11&lt;&gt;"",getVMData(F38,F$9,F$10,"cores")*1,"")</f>
        <v>#NAME?</v>
      </c>
      <c r="G39" s="171" t="e">
        <f ca="1">IF(G$11&lt;&gt;"",getVMData(G38,G$9,G$10,"cores")*1,"")</f>
        <v>#NAME?</v>
      </c>
      <c r="H39" s="171" t="str">
        <f>IF(H$11&lt;&gt;"",getVMData(H38,H$9,H$10,"cores")*1,"")</f>
        <v/>
      </c>
      <c r="I39" s="89"/>
      <c r="J39" s="153"/>
    </row>
    <row r="40" spans="2:14" ht="18.600000000000001" customHeight="1" x14ac:dyDescent="0.3">
      <c r="B40" s="30"/>
      <c r="C40" s="64" t="s">
        <v>112</v>
      </c>
      <c r="D40" s="171" t="e">
        <f ca="1">IF(D$11&lt;&gt;"",getVMData(D38,D$9,D$10,"ram")*1,"")</f>
        <v>#NAME?</v>
      </c>
      <c r="E40" s="171" t="e">
        <f ca="1">IF(E$11&lt;&gt;"",getVMData(E38,E$9,E$10,"ram")*1,"")</f>
        <v>#NAME?</v>
      </c>
      <c r="F40" s="171" t="e">
        <f ca="1">IF(F$11&lt;&gt;"",getVMData(F38,F$9,F$10,"ram")*1,"")</f>
        <v>#NAME?</v>
      </c>
      <c r="G40" s="171" t="e">
        <f ca="1">IF(G$11&lt;&gt;"",getVMData(G38,G$9,G$10,"ram")*1,"")</f>
        <v>#NAME?</v>
      </c>
      <c r="H40" s="171" t="str">
        <f>IF(H$11&lt;&gt;"",getVMData(H38,H$9,H$10,"ram")*1,"")</f>
        <v/>
      </c>
      <c r="I40" s="41"/>
    </row>
    <row r="41" spans="2:14" ht="18.600000000000001" customHeight="1" x14ac:dyDescent="0.3">
      <c r="B41" s="30"/>
      <c r="C41" s="50" t="s">
        <v>295</v>
      </c>
      <c r="D41" s="168" t="str">
        <f>IF(D24&lt;&gt;"",IF(D24&gt;=$L$20,Reference!$L$5,Reference!$L$3),"")</f>
        <v>Pay-as-you-go</v>
      </c>
      <c r="E41" s="168" t="str">
        <f>IF(E24&lt;&gt;"",IF(E24&gt;=$L$20,Reference!$L$5,Reference!$L$3),"")</f>
        <v>3-year reserved</v>
      </c>
      <c r="F41" s="168" t="str">
        <f>IF(F24&lt;&gt;"",IF(F24&gt;=$L$20,Reference!$L$5,Reference!$L$3),"")</f>
        <v>Pay-as-you-go</v>
      </c>
      <c r="G41" s="168" t="str">
        <f>IF(G24&lt;&gt;"",IF(G24&gt;=$L$20,Reference!$L$5,Reference!$L$3),"")</f>
        <v>3-year reserved</v>
      </c>
      <c r="H41" s="168" t="str">
        <f>IF(H24&lt;&gt;"",IF(H24&gt;=$L$20,Reference!$L$5,Reference!$L$3),"")</f>
        <v/>
      </c>
      <c r="I41" s="41"/>
    </row>
    <row r="42" spans="2:14" ht="18.600000000000001" customHeight="1" x14ac:dyDescent="0.3">
      <c r="B42" s="30"/>
      <c r="C42" s="50" t="s">
        <v>296</v>
      </c>
      <c r="D42" s="321"/>
      <c r="E42" s="321"/>
      <c r="F42" s="321"/>
      <c r="G42" s="321" t="s">
        <v>453</v>
      </c>
      <c r="H42" s="321"/>
      <c r="I42" s="41"/>
    </row>
    <row r="43" spans="2:14" ht="18.600000000000001" customHeight="1" x14ac:dyDescent="0.3">
      <c r="B43" s="30"/>
      <c r="C43" s="50" t="s">
        <v>297</v>
      </c>
      <c r="D43" s="138" t="str">
        <f>IF(D41&lt;&gt;"",IF(D42&lt;&gt;"",D42,D41),"")</f>
        <v>Pay-as-you-go</v>
      </c>
      <c r="E43" s="138" t="str">
        <f t="shared" ref="E43:H43" si="4">IF(E41&lt;&gt;"",IF(E42&lt;&gt;"",E42,E41),"")</f>
        <v>3-year reserved</v>
      </c>
      <c r="F43" s="138" t="str">
        <f t="shared" si="4"/>
        <v>Pay-as-you-go</v>
      </c>
      <c r="G43" s="138" t="str">
        <f t="shared" si="4"/>
        <v>Pay-as-you-go</v>
      </c>
      <c r="H43" s="138" t="str">
        <f t="shared" si="4"/>
        <v/>
      </c>
      <c r="I43" s="41"/>
      <c r="K43" s="32"/>
      <c r="L43" s="32"/>
      <c r="M43" s="32"/>
      <c r="N43" s="32"/>
    </row>
    <row r="44" spans="2:14" ht="18.600000000000001" customHeight="1" x14ac:dyDescent="0.3">
      <c r="B44" s="30"/>
      <c r="C44" s="64" t="s">
        <v>335</v>
      </c>
      <c r="D44" s="172" t="e">
        <f ca="1">IF(D$11&lt;&gt;"",getVMPriceHour(D38,VLOOKUP(D43,Reference!$L$3:$M$5,2,FALSE),D$9,D$10),"")</f>
        <v>#NAME?</v>
      </c>
      <c r="E44" s="172" t="e">
        <f ca="1">IF(E$11&lt;&gt;"",getVMPriceHour(E38,VLOOKUP(E43,Reference!$L$3:$M$5,2,FALSE),E$9,E$10),"")</f>
        <v>#NAME?</v>
      </c>
      <c r="F44" s="172" t="e">
        <f ca="1">IF(F$11&lt;&gt;"",getVMPriceHour(F38,VLOOKUP(F43,Reference!$L$3:$M$5,2,FALSE),F$9,F$10),"")</f>
        <v>#NAME?</v>
      </c>
      <c r="G44" s="172" t="e">
        <f ca="1">IF(G$11&lt;&gt;"",getVMPriceHour(G38,VLOOKUP(G43,Reference!$L$3:$M$5,2,FALSE),G$9,G$10),"")</f>
        <v>#NAME?</v>
      </c>
      <c r="H44" s="172" t="str">
        <f>IF(H$11&lt;&gt;"",getVMPriceHour(H38,VLOOKUP(H43,Reference!$L$3:$M$5,2,FALSE),H$9,H$10),"")</f>
        <v/>
      </c>
      <c r="I44" s="41"/>
      <c r="J44" s="261" t="s">
        <v>486</v>
      </c>
      <c r="K44" s="32"/>
      <c r="L44" s="32"/>
      <c r="M44" s="32"/>
      <c r="N44" s="32"/>
    </row>
    <row r="45" spans="2:14" ht="18.600000000000001" customHeight="1" x14ac:dyDescent="0.3">
      <c r="B45" s="30"/>
      <c r="C45" s="30"/>
      <c r="D45" s="158"/>
      <c r="E45" s="158"/>
      <c r="F45" s="158"/>
      <c r="G45" s="158"/>
      <c r="H45" s="158"/>
      <c r="I45" s="30"/>
      <c r="J45" s="122"/>
      <c r="K45" s="147" t="s">
        <v>325</v>
      </c>
      <c r="L45" s="147"/>
      <c r="M45" s="147"/>
      <c r="N45" s="147"/>
    </row>
    <row r="46" spans="2:14" ht="18.600000000000001" customHeight="1" x14ac:dyDescent="0.3">
      <c r="B46" s="30"/>
      <c r="C46" s="50" t="s">
        <v>125</v>
      </c>
      <c r="D46" s="173" t="e">
        <f ca="1">IF(D$12&lt;&gt;"",IF(D29=Reference!$I$3,D33*D39,1),"")</f>
        <v>#NAME?</v>
      </c>
      <c r="E46" s="173" t="e">
        <f ca="1">IF(E$12&lt;&gt;"",IF(E29=Reference!$I$3,E33*E39,1),"")</f>
        <v>#NAME?</v>
      </c>
      <c r="F46" s="173" t="e">
        <f ca="1">IF(F$12&lt;&gt;"",IF(F29=Reference!$I$3,F33*F39,1),"")</f>
        <v>#NAME?</v>
      </c>
      <c r="G46" s="173">
        <f>IF(G$12&lt;&gt;"",IF(G29=Reference!$I$3,G33*G39,1),"")</f>
        <v>1</v>
      </c>
      <c r="H46" s="173" t="str">
        <f>IF(H$12&lt;&gt;"",IF(H29=Reference!$I$3,H33*H39,1),"")</f>
        <v/>
      </c>
      <c r="I46" s="89"/>
      <c r="J46" s="153"/>
      <c r="K46" s="147" t="s">
        <v>327</v>
      </c>
      <c r="L46" s="147"/>
      <c r="M46" s="147"/>
      <c r="N46" s="147"/>
    </row>
    <row r="47" spans="2:14" ht="18.600000000000001" customHeight="1" x14ac:dyDescent="0.3">
      <c r="B47" s="30"/>
      <c r="C47" s="50" t="s">
        <v>139</v>
      </c>
      <c r="D47" s="173">
        <f>IF(D43&lt;&gt;"",IF(D43=Reference!$L$3,D24,$L$19),"")</f>
        <v>260</v>
      </c>
      <c r="E47" s="173">
        <f>IF(E43&lt;&gt;"",IF(E43=Reference!$L$3,E24,$L$19),"")</f>
        <v>730</v>
      </c>
      <c r="F47" s="173">
        <f>IF(F43&lt;&gt;"",IF(F43=Reference!$L$3,F24,$L$19),"")</f>
        <v>260</v>
      </c>
      <c r="G47" s="173">
        <f>IF(G43&lt;&gt;"",IF(G43=Reference!$L$3,G24,$L$19),"")</f>
        <v>364</v>
      </c>
      <c r="H47" s="173" t="str">
        <f>IF(H43&lt;&gt;"",IF(H43=Reference!$L$3,H24,$L$19),"")</f>
        <v/>
      </c>
      <c r="I47" s="41"/>
      <c r="K47" s="147" t="s">
        <v>328</v>
      </c>
      <c r="L47" s="147"/>
      <c r="M47" s="147"/>
      <c r="N47" s="147"/>
    </row>
    <row r="48" spans="2:14" ht="18.600000000000001" customHeight="1" x14ac:dyDescent="0.3">
      <c r="B48" s="30"/>
      <c r="C48" s="50" t="s">
        <v>120</v>
      </c>
      <c r="D48" s="173" t="e">
        <f ca="1">IF(D46&lt;&gt;"",ROUNDUP(IF(D28=Reference!$W$4,D12,D19)/D46+$L$21,0),"")</f>
        <v>#NAME?</v>
      </c>
      <c r="E48" s="173" t="e">
        <f ca="1">IF(E46&lt;&gt;"",ROUNDUP(IF(E28=Reference!$W$4,E12,E19)/E46+$L$21,0),"")</f>
        <v>#NAME?</v>
      </c>
      <c r="F48" s="173" t="e">
        <f ca="1">IF(F46&lt;&gt;"",ROUNDUP(IF(F28=Reference!$W$4,F12,F19)/F46+$L$21,0),"")</f>
        <v>#NAME?</v>
      </c>
      <c r="G48" s="173">
        <f>IF(G46&lt;&gt;"",ROUNDUP(IF(G28=Reference!$W$4,G12,G19)/G46+$L$21,0),"")</f>
        <v>316</v>
      </c>
      <c r="H48" s="173" t="str">
        <f>IF(H46&lt;&gt;"",ROUNDUP(IF(H28=Reference!$W$4,H12,H19)/H46+$L$21,0),"")</f>
        <v/>
      </c>
      <c r="I48" s="41"/>
      <c r="K48" s="147" t="s">
        <v>511</v>
      </c>
      <c r="L48" s="148"/>
      <c r="M48" s="148"/>
      <c r="N48" s="147"/>
    </row>
    <row r="49" spans="2:14" ht="18.600000000000001" customHeight="1" x14ac:dyDescent="0.3">
      <c r="B49" s="30"/>
      <c r="C49" s="50" t="s">
        <v>338</v>
      </c>
      <c r="D49" s="176" t="e">
        <f ca="1">IF(D44&lt;&gt;"",D44*D47*D48,"")</f>
        <v>#NAME?</v>
      </c>
      <c r="E49" s="176" t="e">
        <f t="shared" ref="E49:H49" ca="1" si="5">IF(E44&lt;&gt;"",E44*E47*E48,"")</f>
        <v>#NAME?</v>
      </c>
      <c r="F49" s="176" t="e">
        <f t="shared" ca="1" si="5"/>
        <v>#NAME?</v>
      </c>
      <c r="G49" s="174" t="e">
        <f t="shared" ca="1" si="5"/>
        <v>#NAME?</v>
      </c>
      <c r="H49" s="174" t="str">
        <f t="shared" si="5"/>
        <v/>
      </c>
      <c r="I49" s="41"/>
      <c r="K49" s="147" t="s">
        <v>508</v>
      </c>
      <c r="L49" s="147"/>
      <c r="M49" s="147"/>
      <c r="N49" s="147"/>
    </row>
    <row r="50" spans="2:14" ht="18.600000000000001" customHeight="1" x14ac:dyDescent="0.3">
      <c r="B50" s="30"/>
      <c r="C50" s="50" t="s">
        <v>140</v>
      </c>
      <c r="D50" s="175">
        <f>IF(D47&lt;&gt;"",$L$19-D47,"")</f>
        <v>470</v>
      </c>
      <c r="E50" s="175">
        <f>IF(E47&lt;&gt;"",$L$19-E47,"")</f>
        <v>0</v>
      </c>
      <c r="F50" s="175">
        <f>IF(F47&lt;&gt;"",$L$19-F47,"")</f>
        <v>470</v>
      </c>
      <c r="G50" s="175">
        <f>IF(G47&lt;&gt;"",$L$19-G47,"")</f>
        <v>366</v>
      </c>
      <c r="H50" s="175" t="str">
        <f>IF(H47&lt;&gt;"",$L$19-H47,"")</f>
        <v/>
      </c>
      <c r="I50" s="41"/>
      <c r="K50" s="147" t="s">
        <v>509</v>
      </c>
      <c r="L50" s="147"/>
      <c r="M50" s="147"/>
      <c r="N50" s="147"/>
    </row>
    <row r="51" spans="2:14" ht="18.600000000000001" customHeight="1" x14ac:dyDescent="0.3">
      <c r="B51" s="30"/>
      <c r="C51" s="50" t="s">
        <v>121</v>
      </c>
      <c r="D51" s="173" t="e">
        <f ca="1">IF(D43&lt;&gt;"",IF(AND(D43=Reference!$L$3,D28=Reference!$W$3),ROUNDUP(D21/D46+$L$21,0),0),"")</f>
        <v>#NAME?</v>
      </c>
      <c r="E51" s="173">
        <f>IF(E43&lt;&gt;"",IF(AND(E43=Reference!$L$3,E28=Reference!$W$3),ROUNDUP(E21/E46+$L$21,0),0),"")</f>
        <v>0</v>
      </c>
      <c r="F51" s="173" t="e">
        <f ca="1">IF(F43&lt;&gt;"",IF(AND(F43=Reference!$L$3,F28=Reference!$W$3),ROUNDUP(F21/F46+$L$21,0),0),"")</f>
        <v>#NAME?</v>
      </c>
      <c r="G51" s="173">
        <f>IF(G43&lt;&gt;"",IF(AND(G43=Reference!$L$3,G28=Reference!$W$3),ROUNDUP(G21/G46+$L$21,0),0),"")</f>
        <v>36</v>
      </c>
      <c r="H51" s="173" t="str">
        <f>IF(H43&lt;&gt;"",IF(AND(H43=Reference!$L$3,H28=Reference!$W$3),ROUNDUP(H21/H46+$L$21,0),0),"")</f>
        <v/>
      </c>
      <c r="I51" s="41"/>
      <c r="K51" s="147" t="s">
        <v>510</v>
      </c>
      <c r="L51" s="147"/>
      <c r="M51" s="147"/>
      <c r="N51" s="147"/>
    </row>
    <row r="52" spans="2:14" ht="18.600000000000001" customHeight="1" x14ac:dyDescent="0.3">
      <c r="B52" s="30"/>
      <c r="C52" s="50" t="s">
        <v>337</v>
      </c>
      <c r="D52" s="176" t="e">
        <f ca="1">IF(D44&lt;&gt;"",D44*D50*D51,"")</f>
        <v>#NAME?</v>
      </c>
      <c r="E52" s="176" t="e">
        <f t="shared" ref="E52:H52" ca="1" si="6">IF(E44&lt;&gt;"",E44*E50*E51,"")</f>
        <v>#NAME?</v>
      </c>
      <c r="F52" s="176" t="e">
        <f t="shared" ca="1" si="6"/>
        <v>#NAME?</v>
      </c>
      <c r="G52" s="176" t="e">
        <f t="shared" ca="1" si="6"/>
        <v>#NAME?</v>
      </c>
      <c r="H52" s="176" t="str">
        <f t="shared" si="6"/>
        <v/>
      </c>
      <c r="I52" s="41"/>
      <c r="K52" s="147" t="s">
        <v>412</v>
      </c>
      <c r="L52" s="147"/>
      <c r="M52" s="147"/>
      <c r="N52" s="147"/>
    </row>
    <row r="53" spans="2:14" ht="18.600000000000001" customHeight="1" x14ac:dyDescent="0.3">
      <c r="B53" s="30"/>
      <c r="C53" s="51" t="s">
        <v>336</v>
      </c>
      <c r="D53" s="288" t="e">
        <f ca="1">IF(D49&lt;&gt;"",SUM(D49,D52),"")</f>
        <v>#NAME?</v>
      </c>
      <c r="E53" s="288" t="e">
        <f t="shared" ref="E53:H53" ca="1" si="7">IF(E49&lt;&gt;"",SUM(E49,E52),"")</f>
        <v>#NAME?</v>
      </c>
      <c r="F53" s="288" t="e">
        <f t="shared" ca="1" si="7"/>
        <v>#NAME?</v>
      </c>
      <c r="G53" s="177" t="e">
        <f t="shared" ca="1" si="7"/>
        <v>#NAME?</v>
      </c>
      <c r="H53" s="177" t="str">
        <f t="shared" si="7"/>
        <v/>
      </c>
      <c r="I53" s="41"/>
    </row>
    <row r="54" spans="2:14" ht="18.600000000000001" customHeight="1" x14ac:dyDescent="0.3">
      <c r="B54" s="30"/>
      <c r="C54" s="41"/>
      <c r="D54" s="38"/>
      <c r="E54" s="38"/>
      <c r="F54" s="38"/>
      <c r="G54" s="38"/>
      <c r="H54" s="38"/>
      <c r="I54" s="41"/>
    </row>
    <row r="55" spans="2:14" ht="18.600000000000001" customHeight="1" x14ac:dyDescent="0.3">
      <c r="B55" s="30"/>
      <c r="C55" s="62" t="s">
        <v>559</v>
      </c>
      <c r="D55" s="34" t="s">
        <v>541</v>
      </c>
      <c r="E55" s="38"/>
      <c r="F55" s="38"/>
      <c r="G55" s="38"/>
      <c r="H55" s="38"/>
      <c r="I55" s="41"/>
    </row>
    <row r="56" spans="2:14" ht="18.600000000000001" customHeight="1" x14ac:dyDescent="0.3">
      <c r="B56" s="30"/>
      <c r="C56" s="63" t="s">
        <v>298</v>
      </c>
      <c r="D56" s="168">
        <f>IF(D$11&lt;&gt;"",INDEX('Default Values (MSFT Guidance)'!$C$8:$F$21,MATCH($C56,'Default Values (MSFT Guidance)'!$B$8:$B$21,0),MATCH(D$11,'Default Values (MSFT Guidance)'!$C$6:$F$6,0)),"")</f>
        <v>127</v>
      </c>
      <c r="E56" s="168">
        <f>IF(E$11&lt;&gt;"",INDEX('Default Values (MSFT Guidance)'!$C$8:$F$21,MATCH($C56,'Default Values (MSFT Guidance)'!$B$8:$B$21,0),MATCH(E$11,'Default Values (MSFT Guidance)'!$C$6:$F$6,0)),"")</f>
        <v>127</v>
      </c>
      <c r="F56" s="168">
        <f>IF(F$11&lt;&gt;"",INDEX('Default Values (MSFT Guidance)'!$C$8:$F$21,MATCH($C56,'Default Values (MSFT Guidance)'!$B$8:$B$21,0),MATCH(F$11,'Default Values (MSFT Guidance)'!$C$6:$F$6,0)),"")</f>
        <v>127</v>
      </c>
      <c r="G56" s="168">
        <f>IF(G$11&lt;&gt;"",INDEX('Default Values (MSFT Guidance)'!$C$8:$F$21,MATCH($C56,'Default Values (MSFT Guidance)'!$B$8:$B$21,0),MATCH(G$11,'Default Values (MSFT Guidance)'!$C$6:$F$6,0)),"")</f>
        <v>127</v>
      </c>
      <c r="H56" s="168" t="str">
        <f>IF(H$11&lt;&gt;"",INDEX('Default Values (MSFT Guidance)'!$C$8:$F$21,MATCH($C56,'Default Values (MSFT Guidance)'!$B$8:$B$21,0),MATCH(H$11,'Default Values (MSFT Guidance)'!$C$6:$F$6,0)),"")</f>
        <v/>
      </c>
      <c r="I56" s="89"/>
      <c r="J56" s="153"/>
      <c r="K56" s="149"/>
    </row>
    <row r="57" spans="2:14" ht="18.600000000000001" customHeight="1" x14ac:dyDescent="0.3">
      <c r="B57" s="30"/>
      <c r="C57" s="63" t="s">
        <v>554</v>
      </c>
      <c r="D57" s="321"/>
      <c r="E57" s="321"/>
      <c r="F57" s="321"/>
      <c r="G57" s="321"/>
      <c r="H57" s="321"/>
      <c r="I57" s="89"/>
      <c r="J57" s="153"/>
      <c r="K57" s="149"/>
    </row>
    <row r="58" spans="2:14" ht="18.600000000000001" customHeight="1" x14ac:dyDescent="0.3">
      <c r="B58" s="30"/>
      <c r="C58" s="63" t="s">
        <v>555</v>
      </c>
      <c r="D58" s="138">
        <f>IF(D56&lt;&gt;"",IF(D57&lt;&gt;"",D57,D56),"")</f>
        <v>127</v>
      </c>
      <c r="E58" s="138">
        <f t="shared" ref="E58:H58" si="8">IF(E56&lt;&gt;"",IF(E57&lt;&gt;"",E57,E56),"")</f>
        <v>127</v>
      </c>
      <c r="F58" s="138">
        <f t="shared" si="8"/>
        <v>127</v>
      </c>
      <c r="G58" s="138">
        <f t="shared" si="8"/>
        <v>127</v>
      </c>
      <c r="H58" s="138" t="str">
        <f t="shared" si="8"/>
        <v/>
      </c>
      <c r="I58" s="89"/>
      <c r="J58" s="153"/>
      <c r="K58" s="149"/>
    </row>
    <row r="59" spans="2:14" ht="18.600000000000001" customHeight="1" x14ac:dyDescent="0.3">
      <c r="B59" s="30"/>
      <c r="C59" s="63" t="s">
        <v>299</v>
      </c>
      <c r="D59" s="168">
        <f>IF(D$11&lt;&gt;"",INDEX('Default Values (MSFT Guidance)'!$C$8:$F$21,MATCH($C59,'Default Values (MSFT Guidance)'!$B$8:$B$21,0),MATCH(D$11,'Default Values (MSFT Guidance)'!$C$6:$F$6,0)),"")</f>
        <v>1</v>
      </c>
      <c r="E59" s="168">
        <f>IF(E$11&lt;&gt;"",INDEX('Default Values (MSFT Guidance)'!$C$8:$F$21,MATCH($C59,'Default Values (MSFT Guidance)'!$B$8:$B$21,0),MATCH(E$11,'Default Values (MSFT Guidance)'!$C$6:$F$6,0)),"")</f>
        <v>1</v>
      </c>
      <c r="F59" s="168">
        <f>IF(F$11&lt;&gt;"",INDEX('Default Values (MSFT Guidance)'!$C$8:$F$21,MATCH($C59,'Default Values (MSFT Guidance)'!$B$8:$B$21,0),MATCH(F$11,'Default Values (MSFT Guidance)'!$C$6:$F$6,0)),"")</f>
        <v>1</v>
      </c>
      <c r="G59" s="168">
        <f>IF(G$11&lt;&gt;"",INDEX('Default Values (MSFT Guidance)'!$C$8:$F$21,MATCH($C59,'Default Values (MSFT Guidance)'!$B$8:$B$21,0),MATCH(G$11,'Default Values (MSFT Guidance)'!$C$6:$F$6,0)),"")</f>
        <v>1</v>
      </c>
      <c r="H59" s="168" t="str">
        <f>IF(H$11&lt;&gt;"",INDEX('Default Values (MSFT Guidance)'!$C$8:$F$21,MATCH($C59,'Default Values (MSFT Guidance)'!$B$8:$B$21,0),MATCH(H$11,'Default Values (MSFT Guidance)'!$C$6:$F$6,0)),"")</f>
        <v/>
      </c>
      <c r="I59" s="89"/>
      <c r="J59" s="153"/>
      <c r="K59" s="149"/>
    </row>
    <row r="60" spans="2:14" ht="18.600000000000001" customHeight="1" x14ac:dyDescent="0.3">
      <c r="B60" s="30"/>
      <c r="C60" s="63" t="s">
        <v>300</v>
      </c>
      <c r="D60" s="168" t="str">
        <f>IF(D$11&lt;&gt;"",INDEX('Default Values (MSFT Guidance)'!$C$8:$F$21,MATCH($C60,'Default Values (MSFT Guidance)'!$B$8:$B$21,0),MATCH(D$11,'Default Values (MSFT Guidance)'!$C$6:$F$6,0)),"")</f>
        <v>premium</v>
      </c>
      <c r="E60" s="168" t="str">
        <f>IF(E$11&lt;&gt;"",INDEX('Default Values (MSFT Guidance)'!$C$8:$F$21,MATCH($C60,'Default Values (MSFT Guidance)'!$B$8:$B$21,0),MATCH(E$11,'Default Values (MSFT Guidance)'!$C$6:$F$6,0)),"")</f>
        <v>premium</v>
      </c>
      <c r="F60" s="168" t="str">
        <f>IF(F$11&lt;&gt;"",INDEX('Default Values (MSFT Guidance)'!$C$8:$F$21,MATCH($C60,'Default Values (MSFT Guidance)'!$B$8:$B$21,0),MATCH(F$11,'Default Values (MSFT Guidance)'!$C$6:$F$6,0)),"")</f>
        <v>premium</v>
      </c>
      <c r="G60" s="168" t="str">
        <f>IF(G$11&lt;&gt;"",INDEX('Default Values (MSFT Guidance)'!$C$8:$F$21,MATCH($C60,'Default Values (MSFT Guidance)'!$B$8:$B$21,0),MATCH(G$11,'Default Values (MSFT Guidance)'!$C$6:$F$6,0)),"")</f>
        <v>premium</v>
      </c>
      <c r="H60" s="168" t="str">
        <f>IF(H$11&lt;&gt;"",INDEX('Default Values (MSFT Guidance)'!$C$8:$F$21,MATCH($C60,'Default Values (MSFT Guidance)'!$B$8:$B$21,0),MATCH(H$11,'Default Values (MSFT Guidance)'!$C$6:$F$6,0)),"")</f>
        <v/>
      </c>
      <c r="I60" s="89"/>
      <c r="J60" s="153"/>
      <c r="K60" s="150"/>
    </row>
    <row r="61" spans="2:14" ht="18.600000000000001" customHeight="1" x14ac:dyDescent="0.3">
      <c r="B61" s="30"/>
      <c r="C61" s="63" t="s">
        <v>301</v>
      </c>
      <c r="D61" s="321"/>
      <c r="E61" s="321"/>
      <c r="F61" s="321"/>
      <c r="G61" s="321"/>
      <c r="H61" s="321"/>
      <c r="I61" s="89"/>
      <c r="J61" s="153"/>
      <c r="K61" s="150"/>
    </row>
    <row r="62" spans="2:14" ht="18.600000000000001" customHeight="1" x14ac:dyDescent="0.3">
      <c r="B62" s="30"/>
      <c r="C62" s="63" t="s">
        <v>302</v>
      </c>
      <c r="D62" s="138" t="str">
        <f>IF(D60&lt;&gt;"",IF(D61&lt;&gt;"",D61,D60),"")</f>
        <v>premium</v>
      </c>
      <c r="E62" s="138" t="str">
        <f t="shared" ref="E62" si="9">IF(E60&lt;&gt;"",IF(E61&lt;&gt;"",E61,E60),"")</f>
        <v>premium</v>
      </c>
      <c r="F62" s="138" t="str">
        <f t="shared" ref="F62" si="10">IF(F60&lt;&gt;"",IF(F61&lt;&gt;"",F61,F60),"")</f>
        <v>premium</v>
      </c>
      <c r="G62" s="138" t="str">
        <f t="shared" ref="G62" si="11">IF(G60&lt;&gt;"",IF(G61&lt;&gt;"",G61,G60),"")</f>
        <v>premium</v>
      </c>
      <c r="H62" s="138" t="str">
        <f t="shared" ref="H62" si="12">IF(H60&lt;&gt;"",IF(H61&lt;&gt;"",H61,H60),"")</f>
        <v/>
      </c>
      <c r="I62" s="89"/>
      <c r="J62" s="153"/>
      <c r="K62" s="150"/>
    </row>
    <row r="63" spans="2:14" ht="18.600000000000001" customHeight="1" x14ac:dyDescent="0.3">
      <c r="B63" s="30"/>
      <c r="C63" s="50" t="s">
        <v>256</v>
      </c>
      <c r="D63" s="179" t="e">
        <f ca="1">IF(D58&lt;&gt;"",getManagedDisk(D58,D$9,D$10,,D62),"")</f>
        <v>#NAME?</v>
      </c>
      <c r="E63" s="179" t="e">
        <f ca="1">IF(E58&lt;&gt;"",getManagedDisk(E58,E$9,E$10,,E62),"")</f>
        <v>#NAME?</v>
      </c>
      <c r="F63" s="179" t="e">
        <f ca="1">IF(F58&lt;&gt;"",getManagedDisk(F58,F$9,F$10,,F62),"")</f>
        <v>#NAME?</v>
      </c>
      <c r="G63" s="179" t="e">
        <f ca="1">IF(G58&lt;&gt;"",getManagedDisk(G58,G$9,G$10,,G62),"")</f>
        <v>#NAME?</v>
      </c>
      <c r="H63" s="179" t="str">
        <f>IF(H58&lt;&gt;"",getManagedDisk(H58,H$9,H$10,,H62),"")</f>
        <v/>
      </c>
      <c r="I63" s="41"/>
    </row>
    <row r="64" spans="2:14" ht="18.600000000000001" customHeight="1" x14ac:dyDescent="0.3">
      <c r="B64" s="30"/>
      <c r="C64" s="50" t="s">
        <v>257</v>
      </c>
      <c r="D64" s="180" t="e">
        <f ca="1">IF(D63&lt;&gt;"",getMDiskData(D63,D$9,D$10,"size"),"")</f>
        <v>#NAME?</v>
      </c>
      <c r="E64" s="180" t="e">
        <f ca="1">IF(E63&lt;&gt;"",getMDiskData(E63,E$9,E$10,"size"),"")</f>
        <v>#NAME?</v>
      </c>
      <c r="F64" s="180" t="e">
        <f ca="1">IF(F63&lt;&gt;"",getMDiskData(F63,F$9,F$10,"size"),"")</f>
        <v>#NAME?</v>
      </c>
      <c r="G64" s="180" t="e">
        <f ca="1">IF(G63&lt;&gt;"",getMDiskData(G63,G$9,G$10,"size"),"")</f>
        <v>#NAME?</v>
      </c>
      <c r="H64" s="180" t="str">
        <f>IF(H63&lt;&gt;"",getMDiskData(H63,H$9,H$10,"size"),"")</f>
        <v/>
      </c>
      <c r="I64" s="41"/>
    </row>
    <row r="65" spans="2:11" ht="18.600000000000001" customHeight="1" x14ac:dyDescent="0.3">
      <c r="B65" s="30"/>
      <c r="C65" s="50" t="s">
        <v>260</v>
      </c>
      <c r="D65" s="180" t="e">
        <f ca="1">IF(D63&lt;&gt;"",getMDiskData(D63,D$9,D$10,"iops"),"")</f>
        <v>#NAME?</v>
      </c>
      <c r="E65" s="180" t="e">
        <f ca="1">IF(E63&lt;&gt;"",getMDiskData(E63,E$9,E$10,"iops"),"")</f>
        <v>#NAME?</v>
      </c>
      <c r="F65" s="180" t="e">
        <f ca="1">IF(F63&lt;&gt;"",getMDiskData(F63,F$9,F$10,"iops"),"")</f>
        <v>#NAME?</v>
      </c>
      <c r="G65" s="180" t="e">
        <f ca="1">IF(G63&lt;&gt;"",getMDiskData(G63,G$9,G$10,"iops"),"")</f>
        <v>#NAME?</v>
      </c>
      <c r="H65" s="180" t="str">
        <f>IF(H63&lt;&gt;"",getMDiskData(H63,H$9,H$10,"iops"),"")</f>
        <v/>
      </c>
      <c r="I65" s="41"/>
    </row>
    <row r="66" spans="2:11" ht="18.600000000000001" customHeight="1" x14ac:dyDescent="0.3">
      <c r="B66" s="30"/>
      <c r="C66" s="50" t="s">
        <v>266</v>
      </c>
      <c r="D66" s="180" t="e">
        <f ca="1">IF(D63&lt;&gt;"",getMDiskData(D63,D$9,D$10,"speed"),"")</f>
        <v>#NAME?</v>
      </c>
      <c r="E66" s="180" t="e">
        <f ca="1">IF(E63&lt;&gt;"",getMDiskData(E63,E$9,E$10,"speed"),"")</f>
        <v>#NAME?</v>
      </c>
      <c r="F66" s="180" t="e">
        <f ca="1">IF(F63&lt;&gt;"",getMDiskData(F63,F$9,F$10,"speed"),"")</f>
        <v>#NAME?</v>
      </c>
      <c r="G66" s="180" t="e">
        <f ca="1">IF(G63&lt;&gt;"",getMDiskData(G63,G$9,G$10,"speed"),"")</f>
        <v>#NAME?</v>
      </c>
      <c r="H66" s="180" t="str">
        <f>IF(H63&lt;&gt;"",getMDiskData(H63,H$9,H$10,"speed"),"")</f>
        <v/>
      </c>
      <c r="I66" s="41"/>
    </row>
    <row r="67" spans="2:11" ht="18.600000000000001" customHeight="1" x14ac:dyDescent="0.3">
      <c r="B67" s="30"/>
      <c r="C67" s="50" t="s">
        <v>350</v>
      </c>
      <c r="D67" s="181" t="e">
        <f ca="1">IF(D63&lt;&gt;"",getManagedDiskPriceMonth(D63,D$9,D$10),"")</f>
        <v>#NAME?</v>
      </c>
      <c r="E67" s="181" t="e">
        <f ca="1">IF(E63&lt;&gt;"",getManagedDiskPriceMonth(E63,E$9,E$10),"")</f>
        <v>#NAME?</v>
      </c>
      <c r="F67" s="181" t="e">
        <f ca="1">IF(F63&lt;&gt;"",getManagedDiskPriceMonth(F63,F$9,F$10),"")</f>
        <v>#NAME?</v>
      </c>
      <c r="G67" s="181" t="e">
        <f ca="1">IF(G63&lt;&gt;"",getManagedDiskPriceMonth(G63,G$9,G$10),"")</f>
        <v>#NAME?</v>
      </c>
      <c r="H67" s="181" t="str">
        <f>IF(H63&lt;&gt;"",getManagedDiskPriceMonth(H63,H$9,H$10),"")</f>
        <v/>
      </c>
      <c r="I67" s="41"/>
    </row>
    <row r="68" spans="2:11" ht="18.600000000000001" customHeight="1" x14ac:dyDescent="0.3">
      <c r="B68" s="30"/>
      <c r="C68" s="50" t="s">
        <v>351</v>
      </c>
      <c r="D68" s="182" t="e">
        <f ca="1">IF(D67&lt;&gt;"",D59*D67,"")</f>
        <v>#NAME?</v>
      </c>
      <c r="E68" s="182" t="e">
        <f ca="1">IF(E67&lt;&gt;"",E59*E67,"")</f>
        <v>#NAME?</v>
      </c>
      <c r="F68" s="182" t="e">
        <f ca="1">IF(F67&lt;&gt;"",F59*F67,"")</f>
        <v>#NAME?</v>
      </c>
      <c r="G68" s="182" t="e">
        <f ca="1">IF(G67&lt;&gt;"",G59*G67,"")</f>
        <v>#NAME?</v>
      </c>
      <c r="H68" s="182" t="str">
        <f>IF(H67&lt;&gt;"",H59*H67,"")</f>
        <v/>
      </c>
      <c r="I68" s="41"/>
    </row>
    <row r="69" spans="2:11" ht="18.600000000000001" customHeight="1" x14ac:dyDescent="0.3">
      <c r="B69" s="30"/>
      <c r="C69" s="50" t="s">
        <v>120</v>
      </c>
      <c r="D69" s="183" t="e">
        <f ca="1">IF(D48&lt;&gt;"",D48,"")</f>
        <v>#NAME?</v>
      </c>
      <c r="E69" s="183" t="e">
        <f t="shared" ref="E69:H69" ca="1" si="13">IF(E48&lt;&gt;"",E48,"")</f>
        <v>#NAME?</v>
      </c>
      <c r="F69" s="183" t="e">
        <f t="shared" ca="1" si="13"/>
        <v>#NAME?</v>
      </c>
      <c r="G69" s="183">
        <f t="shared" si="13"/>
        <v>316</v>
      </c>
      <c r="H69" s="183" t="str">
        <f t="shared" si="13"/>
        <v/>
      </c>
      <c r="I69" s="41"/>
    </row>
    <row r="70" spans="2:11" ht="18.600000000000001" customHeight="1" x14ac:dyDescent="0.3">
      <c r="B70" s="30"/>
      <c r="C70" s="51" t="s">
        <v>352</v>
      </c>
      <c r="D70" s="184" t="e">
        <f ca="1">IF(D48&lt;&gt;"",D69*D68,"")</f>
        <v>#NAME?</v>
      </c>
      <c r="E70" s="184" t="e">
        <f ca="1">IF(E48&lt;&gt;"",E69*E68,"")</f>
        <v>#NAME?</v>
      </c>
      <c r="F70" s="184" t="e">
        <f ca="1">IF(F48&lt;&gt;"",F69*F68,"")</f>
        <v>#NAME?</v>
      </c>
      <c r="G70" s="184" t="e">
        <f ca="1">IF(G48&lt;&gt;"",G69*G68,"")</f>
        <v>#NAME?</v>
      </c>
      <c r="H70" s="184" t="str">
        <f>IF(H48&lt;&gt;"",H69*H68,"")</f>
        <v/>
      </c>
      <c r="I70" s="41"/>
    </row>
    <row r="71" spans="2:11" ht="18.600000000000001" customHeight="1" x14ac:dyDescent="0.3">
      <c r="B71" s="30"/>
      <c r="C71" s="30"/>
      <c r="D71" s="158"/>
      <c r="E71" s="158"/>
      <c r="F71" s="158"/>
      <c r="G71" s="158"/>
      <c r="H71" s="158"/>
      <c r="I71" s="41"/>
    </row>
    <row r="72" spans="2:11" ht="18.600000000000001" customHeight="1" x14ac:dyDescent="0.3">
      <c r="B72" s="30"/>
      <c r="C72" s="62" t="s">
        <v>560</v>
      </c>
      <c r="D72" s="38"/>
      <c r="E72" s="38"/>
      <c r="F72" s="38"/>
      <c r="G72" s="38"/>
      <c r="H72" s="38"/>
      <c r="I72" s="41"/>
    </row>
    <row r="73" spans="2:11" ht="18.600000000000001" customHeight="1" x14ac:dyDescent="0.3">
      <c r="B73" s="30"/>
      <c r="C73" s="63" t="s">
        <v>533</v>
      </c>
      <c r="D73" s="321"/>
      <c r="E73" s="321"/>
      <c r="F73" s="321"/>
      <c r="G73" s="321"/>
      <c r="H73" s="321"/>
      <c r="I73" s="89"/>
      <c r="J73" s="153"/>
      <c r="K73" s="149"/>
    </row>
    <row r="74" spans="2:11" ht="18.600000000000001" customHeight="1" x14ac:dyDescent="0.3">
      <c r="B74" s="30"/>
      <c r="C74" s="63" t="s">
        <v>534</v>
      </c>
      <c r="D74" s="321"/>
      <c r="E74" s="321"/>
      <c r="F74" s="321"/>
      <c r="G74" s="321"/>
      <c r="H74" s="321"/>
      <c r="I74" s="89"/>
      <c r="J74" s="153"/>
      <c r="K74" s="149"/>
    </row>
    <row r="75" spans="2:11" ht="18.600000000000001" customHeight="1" x14ac:dyDescent="0.3">
      <c r="B75" s="30"/>
      <c r="C75" s="63" t="s">
        <v>535</v>
      </c>
      <c r="D75" s="321"/>
      <c r="E75" s="321"/>
      <c r="F75" s="321"/>
      <c r="G75" s="321"/>
      <c r="H75" s="321"/>
      <c r="I75" s="89"/>
      <c r="J75" s="153"/>
      <c r="K75" s="150"/>
    </row>
    <row r="76" spans="2:11" ht="18.600000000000001" customHeight="1" x14ac:dyDescent="0.3">
      <c r="B76" s="30"/>
      <c r="C76" s="50" t="s">
        <v>536</v>
      </c>
      <c r="D76" s="179" t="str">
        <f>IF(D75&lt;&gt;"",getManagedDisk(D73,D$9,D$10,,D75),"")</f>
        <v/>
      </c>
      <c r="E76" s="179" t="str">
        <f>IF(E75&lt;&gt;"",getManagedDisk(E73,E$9,E$10,,E75),"")</f>
        <v/>
      </c>
      <c r="F76" s="179" t="str">
        <f>IF(F75&lt;&gt;"",getManagedDisk(F73,F$9,F$10,,F75),"")</f>
        <v/>
      </c>
      <c r="G76" s="179" t="str">
        <f>IF(G75&lt;&gt;"",getManagedDisk(G73,G$9,G$10,,G75),"")</f>
        <v/>
      </c>
      <c r="H76" s="179" t="str">
        <f>IF(H75&lt;&gt;"",getManagedDisk(H73,H$9,H$10,,H75),"")</f>
        <v/>
      </c>
      <c r="I76" s="89"/>
      <c r="J76" s="153"/>
      <c r="K76" s="150"/>
    </row>
    <row r="77" spans="2:11" ht="18.600000000000001" customHeight="1" x14ac:dyDescent="0.3">
      <c r="B77" s="30"/>
      <c r="C77" s="50" t="s">
        <v>537</v>
      </c>
      <c r="D77" s="180" t="str">
        <f>IF(D76&lt;&gt;"",getMDiskData(D76,D$9,D$10,"size"),"")</f>
        <v/>
      </c>
      <c r="E77" s="180" t="str">
        <f>IF(E76&lt;&gt;"",getMDiskData(E76,E$9,E$10,"size"),"")</f>
        <v/>
      </c>
      <c r="F77" s="180" t="str">
        <f>IF(F76&lt;&gt;"",getMDiskData(F76,F$9,F$10,"size"),"")</f>
        <v/>
      </c>
      <c r="G77" s="180" t="str">
        <f>IF(G76&lt;&gt;"",getMDiskData(G76,G$9,G$10,"size"),"")</f>
        <v/>
      </c>
      <c r="H77" s="180" t="str">
        <f>IF(H76&lt;&gt;"",getMDiskData(H76,H$9,H$10,"size"),"")</f>
        <v/>
      </c>
      <c r="I77" s="89"/>
      <c r="J77" s="153"/>
      <c r="K77" s="150"/>
    </row>
    <row r="78" spans="2:11" ht="18.600000000000001" customHeight="1" x14ac:dyDescent="0.3">
      <c r="B78" s="30"/>
      <c r="C78" s="50" t="s">
        <v>260</v>
      </c>
      <c r="D78" s="179" t="str">
        <f>IF(D76&lt;&gt;"",getMDiskData(D76,D$9,D$10,"iops"),"")</f>
        <v/>
      </c>
      <c r="E78" s="179" t="str">
        <f>IF(E76&lt;&gt;"",getMDiskData(E76,E$9,E$10,"iops"),"")</f>
        <v/>
      </c>
      <c r="F78" s="179" t="str">
        <f>IF(F76&lt;&gt;"",getMDiskData(F76,F$9,F$10,"iops"),"")</f>
        <v/>
      </c>
      <c r="G78" s="179" t="str">
        <f>IF(G76&lt;&gt;"",getMDiskData(G76,G$9,G$10,"iops"),"")</f>
        <v/>
      </c>
      <c r="H78" s="179" t="str">
        <f>IF(H76&lt;&gt;"",getMDiskData(H76,H$9,H$10,"iops"),"")</f>
        <v/>
      </c>
      <c r="I78" s="41"/>
    </row>
    <row r="79" spans="2:11" ht="18.600000000000001" customHeight="1" x14ac:dyDescent="0.3">
      <c r="B79" s="30"/>
      <c r="C79" s="50" t="s">
        <v>266</v>
      </c>
      <c r="D79" s="179" t="str">
        <f>IF(D76&lt;&gt;"",getMDiskData(D76,D$9,D$10,"speed"),"")</f>
        <v/>
      </c>
      <c r="E79" s="179" t="str">
        <f>IF(E76&lt;&gt;"",getMDiskData(E76,E$9,E$10,"speed"),"")</f>
        <v/>
      </c>
      <c r="F79" s="179" t="str">
        <f>IF(F76&lt;&gt;"",getMDiskData(F76,F$9,F$10,"speed"),"")</f>
        <v/>
      </c>
      <c r="G79" s="179" t="str">
        <f>IF(G76&lt;&gt;"",getMDiskData(G76,G$9,G$10,"speed"),"")</f>
        <v/>
      </c>
      <c r="H79" s="179" t="str">
        <f>IF(H76&lt;&gt;"",getMDiskData(H76,H$9,H$10,"speed"),"")</f>
        <v/>
      </c>
      <c r="I79" s="41"/>
    </row>
    <row r="80" spans="2:11" ht="18.600000000000001" customHeight="1" x14ac:dyDescent="0.3">
      <c r="B80" s="30"/>
      <c r="C80" s="50" t="s">
        <v>538</v>
      </c>
      <c r="D80" s="181" t="str">
        <f>IF(D76&lt;&gt;"",getManagedDiskPriceMonth(D76,D$9,D$10),"")</f>
        <v/>
      </c>
      <c r="E80" s="181" t="str">
        <f>IF(E76&lt;&gt;"",getManagedDiskPriceMonth(E76,E$9,E$10),"")</f>
        <v/>
      </c>
      <c r="F80" s="181" t="str">
        <f>IF(F76&lt;&gt;"",getManagedDiskPriceMonth(F76,F$9,F$10),"")</f>
        <v/>
      </c>
      <c r="G80" s="181" t="str">
        <f>IF(G76&lt;&gt;"",getManagedDiskPriceMonth(G76,G$9,G$10),"")</f>
        <v/>
      </c>
      <c r="H80" s="181" t="str">
        <f>IF(H76&lt;&gt;"",getManagedDiskPriceMonth(H76,H$9,H$10),"")</f>
        <v/>
      </c>
      <c r="I80" s="41"/>
    </row>
    <row r="81" spans="2:10" ht="18.600000000000001" customHeight="1" x14ac:dyDescent="0.3">
      <c r="B81" s="30"/>
      <c r="C81" s="50" t="s">
        <v>539</v>
      </c>
      <c r="D81" s="182" t="str">
        <f>IF(D80&lt;&gt;"",D74*D80,"")</f>
        <v/>
      </c>
      <c r="E81" s="182" t="str">
        <f t="shared" ref="E81:H81" si="14">IF(E80&lt;&gt;"",E74*E80,"")</f>
        <v/>
      </c>
      <c r="F81" s="182" t="str">
        <f t="shared" si="14"/>
        <v/>
      </c>
      <c r="G81" s="182" t="str">
        <f t="shared" si="14"/>
        <v/>
      </c>
      <c r="H81" s="182" t="str">
        <f t="shared" si="14"/>
        <v/>
      </c>
      <c r="I81" s="41"/>
    </row>
    <row r="82" spans="2:10" ht="18.600000000000001" customHeight="1" x14ac:dyDescent="0.3">
      <c r="B82" s="30"/>
      <c r="C82" s="50" t="s">
        <v>120</v>
      </c>
      <c r="D82" s="183" t="e">
        <f ca="1">IF(AND(D48&lt;&gt;"",D75&lt;&gt;""),D48,"")</f>
        <v>#NAME?</v>
      </c>
      <c r="E82" s="183" t="e">
        <f t="shared" ref="E82:H82" ca="1" si="15">IF(AND(E48&lt;&gt;"",E75&lt;&gt;""),E48,"")</f>
        <v>#NAME?</v>
      </c>
      <c r="F82" s="183" t="e">
        <f t="shared" ca="1" si="15"/>
        <v>#NAME?</v>
      </c>
      <c r="G82" s="183" t="str">
        <f t="shared" si="15"/>
        <v/>
      </c>
      <c r="H82" s="183" t="str">
        <f t="shared" si="15"/>
        <v/>
      </c>
      <c r="I82" s="41"/>
    </row>
    <row r="83" spans="2:10" ht="18.600000000000001" customHeight="1" x14ac:dyDescent="0.3">
      <c r="B83" s="30"/>
      <c r="C83" s="51" t="s">
        <v>542</v>
      </c>
      <c r="D83" s="184" t="str">
        <f>IF(D75&lt;&gt;"",D81*D82,"")</f>
        <v/>
      </c>
      <c r="E83" s="184" t="str">
        <f t="shared" ref="E83:H83" si="16">IF(E75&lt;&gt;"",E81*E82,"")</f>
        <v/>
      </c>
      <c r="F83" s="184" t="str">
        <f t="shared" si="16"/>
        <v/>
      </c>
      <c r="G83" s="184" t="str">
        <f t="shared" si="16"/>
        <v/>
      </c>
      <c r="H83" s="184" t="str">
        <f t="shared" si="16"/>
        <v/>
      </c>
      <c r="I83" s="41"/>
    </row>
    <row r="84" spans="2:10" ht="18.600000000000001" customHeight="1" x14ac:dyDescent="0.3">
      <c r="B84" s="30"/>
      <c r="C84" s="30"/>
      <c r="D84" s="158"/>
      <c r="E84" s="158"/>
      <c r="F84" s="158"/>
      <c r="G84" s="158"/>
      <c r="H84" s="158"/>
      <c r="I84" s="41"/>
    </row>
    <row r="85" spans="2:10" ht="18.600000000000001" customHeight="1" x14ac:dyDescent="0.3">
      <c r="B85" s="30"/>
      <c r="C85" s="51" t="s">
        <v>451</v>
      </c>
      <c r="D85" s="184" t="e">
        <f ca="1">IF(D53&lt;&gt;"",SUM(D53,D70,D83),"")</f>
        <v>#NAME?</v>
      </c>
      <c r="E85" s="184" t="e">
        <f t="shared" ref="E85:H85" ca="1" si="17">IF(E53&lt;&gt;"",SUM(E53,E70,E83),"")</f>
        <v>#NAME?</v>
      </c>
      <c r="F85" s="184" t="e">
        <f t="shared" ca="1" si="17"/>
        <v>#NAME?</v>
      </c>
      <c r="G85" s="184" t="e">
        <f t="shared" ca="1" si="17"/>
        <v>#NAME?</v>
      </c>
      <c r="H85" s="184" t="str">
        <f t="shared" si="17"/>
        <v/>
      </c>
      <c r="I85" s="41"/>
    </row>
    <row r="86" spans="2:10" ht="18.600000000000001" customHeight="1" x14ac:dyDescent="0.3">
      <c r="B86" s="30"/>
      <c r="C86" s="41"/>
      <c r="D86" s="161"/>
      <c r="E86" s="38"/>
      <c r="F86" s="38"/>
      <c r="G86" s="38"/>
      <c r="H86" s="38"/>
      <c r="I86" s="41"/>
      <c r="J86" s="157"/>
    </row>
    <row r="87" spans="2:10" ht="18.600000000000001" customHeight="1" x14ac:dyDescent="0.3">
      <c r="B87" s="122"/>
      <c r="C87" s="157"/>
      <c r="D87" s="272"/>
      <c r="E87" s="250"/>
      <c r="F87" s="250"/>
      <c r="G87" s="250"/>
      <c r="H87" s="250"/>
      <c r="I87" s="157"/>
      <c r="J87" s="157"/>
    </row>
    <row r="88" spans="2:10" ht="18.600000000000001" customHeight="1" x14ac:dyDescent="0.3">
      <c r="B88" s="30"/>
      <c r="C88" s="270" t="s">
        <v>3</v>
      </c>
      <c r="D88" s="161"/>
      <c r="E88" s="38"/>
      <c r="F88" s="38"/>
      <c r="G88" s="38"/>
      <c r="H88" s="38"/>
      <c r="I88" s="41"/>
      <c r="J88" s="157"/>
    </row>
    <row r="89" spans="2:10" ht="18.600000000000001" customHeight="1" x14ac:dyDescent="0.3">
      <c r="B89" s="30"/>
      <c r="C89" s="41"/>
      <c r="D89" s="161"/>
      <c r="E89" s="38"/>
      <c r="F89" s="38"/>
      <c r="G89" s="38"/>
      <c r="H89" s="38"/>
      <c r="I89" s="41"/>
      <c r="J89" s="157"/>
    </row>
    <row r="90" spans="2:10" ht="18.600000000000001" customHeight="1" x14ac:dyDescent="0.3">
      <c r="B90" s="30"/>
      <c r="C90" s="62" t="s">
        <v>469</v>
      </c>
      <c r="D90" s="161"/>
      <c r="E90" s="38"/>
      <c r="F90" s="38"/>
      <c r="G90" s="38"/>
      <c r="H90" s="38"/>
      <c r="I90" s="41"/>
      <c r="J90" s="157"/>
    </row>
    <row r="91" spans="2:10" ht="18.600000000000001" customHeight="1" x14ac:dyDescent="0.3">
      <c r="B91" s="30"/>
      <c r="C91" s="50" t="s">
        <v>303</v>
      </c>
      <c r="D91" s="168">
        <f>IF(D$11&lt;&gt;"",INDEX('Default Values (MSFT Guidance)'!$C$8:$F$21,MATCH($C91,'Default Values (MSFT Guidance)'!$B$8:$B$21,0),MATCH(D$11,'Default Values (MSFT Guidance)'!$C$6:$F$6,0)),"")</f>
        <v>20</v>
      </c>
      <c r="E91" s="168">
        <f>IF(E$11&lt;&gt;"",INDEX('Default Values (MSFT Guidance)'!$C$8:$F$21,MATCH($C91,'Default Values (MSFT Guidance)'!$B$8:$B$21,0),MATCH(E$11,'Default Values (MSFT Guidance)'!$C$6:$F$6,0)),"")</f>
        <v>20</v>
      </c>
      <c r="F91" s="168">
        <f>IF(F$11&lt;&gt;"",INDEX('Default Values (MSFT Guidance)'!$C$8:$F$21,MATCH($C91,'Default Values (MSFT Guidance)'!$B$8:$B$21,0),MATCH(F$11,'Default Values (MSFT Guidance)'!$C$6:$F$6,0)),"")</f>
        <v>20</v>
      </c>
      <c r="G91" s="168">
        <f>IF(G$11&lt;&gt;"",INDEX('Default Values (MSFT Guidance)'!$C$8:$F$21,MATCH($C91,'Default Values (MSFT Guidance)'!$B$8:$B$21,0),MATCH(G$11,'Default Values (MSFT Guidance)'!$C$6:$F$6,0)),"")</f>
        <v>20</v>
      </c>
      <c r="H91" s="168" t="str">
        <f>IF(H$11&lt;&gt;"",INDEX('Default Values (MSFT Guidance)'!$C$8:$F$21,MATCH($C91,'Default Values (MSFT Guidance)'!$B$8:$B$21,0),MATCH(H$11,'Default Values (MSFT Guidance)'!$C$6:$F$6,0)),"")</f>
        <v/>
      </c>
      <c r="I91" s="41"/>
      <c r="J91" s="157"/>
    </row>
    <row r="92" spans="2:10" ht="18.600000000000001" customHeight="1" x14ac:dyDescent="0.3">
      <c r="B92" s="30"/>
      <c r="C92" s="50" t="s">
        <v>304</v>
      </c>
      <c r="D92" s="321"/>
      <c r="E92" s="321"/>
      <c r="F92" s="321"/>
      <c r="G92" s="321"/>
      <c r="H92" s="321"/>
      <c r="I92" s="41"/>
      <c r="J92" s="157"/>
    </row>
    <row r="93" spans="2:10" ht="18.600000000000001" customHeight="1" x14ac:dyDescent="0.3">
      <c r="B93" s="30"/>
      <c r="C93" s="50" t="s">
        <v>305</v>
      </c>
      <c r="D93" s="138">
        <f>IF(D91&lt;&gt;"",IF(D92&lt;&gt;"",D92,D91),"")</f>
        <v>20</v>
      </c>
      <c r="E93" s="138">
        <f t="shared" ref="E93" si="18">IF(E91&lt;&gt;"",IF(E92&lt;&gt;"",E92,E91),"")</f>
        <v>20</v>
      </c>
      <c r="F93" s="138">
        <f t="shared" ref="F93" si="19">IF(F91&lt;&gt;"",IF(F92&lt;&gt;"",F92,F91),"")</f>
        <v>20</v>
      </c>
      <c r="G93" s="138">
        <f t="shared" ref="G93" si="20">IF(G91&lt;&gt;"",IF(G92&lt;&gt;"",G92,G91),"")</f>
        <v>20</v>
      </c>
      <c r="H93" s="138" t="str">
        <f t="shared" ref="H93" si="21">IF(H91&lt;&gt;"",IF(H92&lt;&gt;"",H92,H91),"")</f>
        <v/>
      </c>
      <c r="I93" s="41"/>
      <c r="J93" s="157"/>
    </row>
    <row r="94" spans="2:10" ht="18.600000000000001" customHeight="1" x14ac:dyDescent="0.3">
      <c r="B94" s="30"/>
      <c r="C94" s="50" t="s">
        <v>17</v>
      </c>
      <c r="D94" s="138">
        <f>IF(D12&lt;&gt;"",D12*D93,"")</f>
        <v>10000</v>
      </c>
      <c r="E94" s="138">
        <f>IF(E12&lt;&gt;"",E12*E93,"")</f>
        <v>3000</v>
      </c>
      <c r="F94" s="138">
        <f>IF(F12&lt;&gt;"",F12*F93,"")</f>
        <v>7000</v>
      </c>
      <c r="G94" s="138">
        <f>IF(G12&lt;&gt;"",G12*G93,"")</f>
        <v>7000</v>
      </c>
      <c r="H94" s="138" t="str">
        <f>IF(H12&lt;&gt;"",H12*H93,"")</f>
        <v/>
      </c>
      <c r="I94" s="41"/>
      <c r="J94" s="157"/>
    </row>
    <row r="95" spans="2:10" ht="18.600000000000001" customHeight="1" x14ac:dyDescent="0.3">
      <c r="B95" s="30"/>
      <c r="C95" s="41"/>
      <c r="D95" s="161"/>
      <c r="E95" s="38"/>
      <c r="F95" s="38"/>
      <c r="G95" s="38"/>
      <c r="H95" s="38"/>
      <c r="I95" s="41"/>
      <c r="J95" s="157"/>
    </row>
    <row r="96" spans="2:10" ht="18.600000000000001" customHeight="1" x14ac:dyDescent="0.3">
      <c r="B96" s="30"/>
      <c r="C96" s="285" t="s">
        <v>561</v>
      </c>
      <c r="D96" s="368" t="str">
        <f>IF(D$11&lt;&gt;"",INDEX('Default Values (MSFT Guidance)'!$C$8:$F$21,MATCH($C96,'Default Values (MSFT Guidance)'!$B$8:$B$21,0),MATCH(D$11,'Default Values (MSFT Guidance)'!$C$6:$F$6,0)),"")</f>
        <v>Azure NetApp Files</v>
      </c>
      <c r="E96" s="368" t="str">
        <f>IF(E$11&lt;&gt;"",INDEX('Default Values (MSFT Guidance)'!$C$8:$F$21,MATCH($C96,'Default Values (MSFT Guidance)'!$B$8:$B$21,0),MATCH(E$11,'Default Values (MSFT Guidance)'!$C$6:$F$6,0)),"")</f>
        <v>Azure NetApp Files</v>
      </c>
      <c r="F96" s="368" t="str">
        <f>IF(F$11&lt;&gt;"",INDEX('Default Values (MSFT Guidance)'!$C$8:$F$21,MATCH($C96,'Default Values (MSFT Guidance)'!$B$8:$B$21,0),MATCH(F$11,'Default Values (MSFT Guidance)'!$C$6:$F$6,0)),"")</f>
        <v>Azure NetApp Files</v>
      </c>
      <c r="G96" s="368" t="str">
        <f>IF(G$11&lt;&gt;"",INDEX('Default Values (MSFT Guidance)'!$C$8:$F$21,MATCH($C96,'Default Values (MSFT Guidance)'!$B$8:$B$21,0),MATCH(G$11,'Default Values (MSFT Guidance)'!$C$6:$F$6,0)),"")</f>
        <v>Azure NetApp Files</v>
      </c>
      <c r="H96" s="368" t="str">
        <f>IF(H$11&lt;&gt;"",INDEX('Default Values (MSFT Guidance)'!$C$8:$F$21,MATCH($C96,'Default Values (MSFT Guidance)'!$B$8:$B$21,0),MATCH(H$11,'Default Values (MSFT Guidance)'!$C$6:$F$6,0)),"")</f>
        <v/>
      </c>
      <c r="I96" s="41"/>
      <c r="J96" s="157" t="s">
        <v>575</v>
      </c>
    </row>
    <row r="97" spans="2:11" ht="18.600000000000001" customHeight="1" x14ac:dyDescent="0.3">
      <c r="B97" s="30"/>
      <c r="C97" s="285" t="s">
        <v>562</v>
      </c>
      <c r="D97" s="365" t="s">
        <v>471</v>
      </c>
      <c r="E97" s="365"/>
      <c r="F97" s="365"/>
      <c r="G97" s="365"/>
      <c r="H97" s="365"/>
      <c r="I97" s="41"/>
      <c r="J97" s="157" t="s">
        <v>576</v>
      </c>
    </row>
    <row r="98" spans="2:11" ht="18.600000000000001" customHeight="1" x14ac:dyDescent="0.3">
      <c r="B98" s="30"/>
      <c r="C98" s="285" t="s">
        <v>470</v>
      </c>
      <c r="D98" s="138" t="str">
        <f>IF(D96&lt;&gt;"",IF(D97&lt;&gt;"",D97,D96),"")</f>
        <v>File Server</v>
      </c>
      <c r="E98" s="138" t="str">
        <f t="shared" ref="E98:H98" si="22">IF(E96&lt;&gt;"",IF(E97&lt;&gt;"",E97,E96),"")</f>
        <v>Azure NetApp Files</v>
      </c>
      <c r="F98" s="138" t="str">
        <f t="shared" si="22"/>
        <v>Azure NetApp Files</v>
      </c>
      <c r="G98" s="138" t="str">
        <f t="shared" si="22"/>
        <v>Azure NetApp Files</v>
      </c>
      <c r="H98" s="138" t="str">
        <f t="shared" si="22"/>
        <v/>
      </c>
      <c r="I98" s="41"/>
      <c r="J98" s="157" t="s">
        <v>577</v>
      </c>
    </row>
    <row r="99" spans="2:11" ht="18.600000000000001" customHeight="1" x14ac:dyDescent="0.3">
      <c r="B99" s="30"/>
      <c r="C99" s="29" t="s">
        <v>489</v>
      </c>
      <c r="D99" s="161"/>
      <c r="E99" s="38"/>
      <c r="F99" s="38"/>
      <c r="G99" s="38"/>
      <c r="H99" s="38"/>
      <c r="I99" s="41"/>
      <c r="J99" s="157" t="s">
        <v>578</v>
      </c>
    </row>
    <row r="100" spans="2:11" ht="18.600000000000001" customHeight="1" x14ac:dyDescent="0.3">
      <c r="B100" s="30"/>
      <c r="C100" s="271" t="str">
        <f>Reference!$AF$4</f>
        <v>Azure NetApp Files</v>
      </c>
      <c r="D100" s="89"/>
      <c r="E100" s="41"/>
      <c r="F100" s="41"/>
      <c r="G100" s="41"/>
      <c r="H100" s="41"/>
      <c r="I100" s="41"/>
      <c r="J100" s="157"/>
    </row>
    <row r="101" spans="2:11" ht="18.600000000000001" customHeight="1" x14ac:dyDescent="0.3">
      <c r="B101" s="30"/>
      <c r="C101" s="292" t="s">
        <v>0</v>
      </c>
      <c r="D101" s="293" t="str">
        <f>IF(D9&lt;&gt;"",D9,"")</f>
        <v>us-west</v>
      </c>
      <c r="E101" s="293" t="str">
        <f>IF(E9&lt;&gt;"",E9,"")</f>
        <v>us-west</v>
      </c>
      <c r="F101" s="293" t="str">
        <f>IF(F9&lt;&gt;"",F9,"")</f>
        <v>us-west</v>
      </c>
      <c r="G101" s="293" t="str">
        <f>IF(G9&lt;&gt;"",G9,"")</f>
        <v>us-west</v>
      </c>
      <c r="H101" s="293" t="str">
        <f>IF(H9&lt;&gt;"",H9,"")</f>
        <v/>
      </c>
      <c r="I101" s="41"/>
      <c r="J101" s="157"/>
    </row>
    <row r="102" spans="2:11" ht="18.600000000000001" customHeight="1" x14ac:dyDescent="0.3">
      <c r="B102" s="30"/>
      <c r="C102" s="292" t="s">
        <v>473</v>
      </c>
      <c r="D102" s="324" t="s">
        <v>475</v>
      </c>
      <c r="E102" s="324" t="s">
        <v>475</v>
      </c>
      <c r="F102" s="324" t="s">
        <v>475</v>
      </c>
      <c r="G102" s="324" t="s">
        <v>475</v>
      </c>
      <c r="H102" s="324"/>
      <c r="I102" s="41"/>
      <c r="J102" s="157"/>
    </row>
    <row r="103" spans="2:11" ht="18.600000000000001" customHeight="1" x14ac:dyDescent="0.3">
      <c r="B103" s="30"/>
      <c r="C103" s="292" t="s">
        <v>481</v>
      </c>
      <c r="D103" s="325"/>
      <c r="E103" s="325"/>
      <c r="F103" s="325"/>
      <c r="G103" s="325"/>
      <c r="H103" s="325"/>
      <c r="I103" s="41"/>
      <c r="J103" s="157"/>
    </row>
    <row r="104" spans="2:11" ht="18.600000000000001" customHeight="1" x14ac:dyDescent="0.3">
      <c r="B104" s="30"/>
      <c r="C104" s="292" t="s">
        <v>483</v>
      </c>
      <c r="D104" s="67" t="str">
        <f>IF(D$11&lt;&gt;"",INDEX('Default Values (MSFT Guidance)'!$C$8:$F$21,MATCH($C104,'Default Values (MSFT Guidance)'!$B$8:$B$21,0),MATCH(D$11,'Default Values (MSFT Guidance)'!$C$6:$F$6,0)),"")</f>
        <v>Standard</v>
      </c>
      <c r="E104" s="67" t="str">
        <f>IF(E$11&lt;&gt;"",INDEX('Default Values (MSFT Guidance)'!$C$8:$F$21,MATCH($C104,'Default Values (MSFT Guidance)'!$B$8:$B$21,0),MATCH(E$11,'Default Values (MSFT Guidance)'!$C$6:$F$6,0)),"")</f>
        <v>Standard</v>
      </c>
      <c r="F104" s="67" t="str">
        <f>IF(F$11&lt;&gt;"",INDEX('Default Values (MSFT Guidance)'!$C$8:$F$21,MATCH($C104,'Default Values (MSFT Guidance)'!$B$8:$B$21,0),MATCH(F$11,'Default Values (MSFT Guidance)'!$C$6:$F$6,0)),"")</f>
        <v>Standard</v>
      </c>
      <c r="G104" s="67" t="str">
        <f>IF(G$11&lt;&gt;"",INDEX('Default Values (MSFT Guidance)'!$C$8:$F$21,MATCH($C104,'Default Values (MSFT Guidance)'!$B$8:$B$21,0),MATCH(G$11,'Default Values (MSFT Guidance)'!$C$6:$F$6,0)),"")</f>
        <v>Standard</v>
      </c>
      <c r="H104" s="67" t="str">
        <f>IF(H$11&lt;&gt;"",INDEX('Default Values (MSFT Guidance)'!$C$8:$F$21,MATCH($C104,'Default Values (MSFT Guidance)'!$B$8:$B$21,0),MATCH(H$11,'Default Values (MSFT Guidance)'!$C$6:$F$6,0)),"")</f>
        <v/>
      </c>
      <c r="I104" s="41"/>
      <c r="J104" s="157"/>
    </row>
    <row r="105" spans="2:11" ht="18.600000000000001" customHeight="1" x14ac:dyDescent="0.3">
      <c r="B105" s="30"/>
      <c r="C105" s="292" t="s">
        <v>484</v>
      </c>
      <c r="D105" s="318"/>
      <c r="E105" s="318"/>
      <c r="F105" s="318"/>
      <c r="G105" s="318"/>
      <c r="H105" s="318"/>
      <c r="I105" s="41"/>
      <c r="J105" s="157"/>
    </row>
    <row r="106" spans="2:11" ht="18.600000000000001" customHeight="1" x14ac:dyDescent="0.3">
      <c r="B106" s="30"/>
      <c r="C106" s="292" t="s">
        <v>485</v>
      </c>
      <c r="D106" s="53" t="str">
        <f>IF(D104&lt;&gt;"",IF(D105&lt;&gt;"",D105,D104),"")</f>
        <v>Standard</v>
      </c>
      <c r="E106" s="53" t="str">
        <f t="shared" ref="E106:H106" si="23">IF(E104&lt;&gt;"",IF(E105&lt;&gt;"",E105,E104),"")</f>
        <v>Standard</v>
      </c>
      <c r="F106" s="53" t="str">
        <f t="shared" si="23"/>
        <v>Standard</v>
      </c>
      <c r="G106" s="53" t="str">
        <f t="shared" si="23"/>
        <v>Standard</v>
      </c>
      <c r="H106" s="53" t="str">
        <f t="shared" si="23"/>
        <v/>
      </c>
      <c r="I106" s="41"/>
      <c r="J106" s="157"/>
    </row>
    <row r="107" spans="2:11" ht="18.600000000000001" customHeight="1" x14ac:dyDescent="0.3">
      <c r="B107" s="30"/>
      <c r="C107" s="292" t="s">
        <v>482</v>
      </c>
      <c r="D107" s="326">
        <v>0.14746000000000001</v>
      </c>
      <c r="E107" s="326">
        <v>0.14746000000000001</v>
      </c>
      <c r="F107" s="326">
        <v>0.14746000000000001</v>
      </c>
      <c r="G107" s="326">
        <v>0.14746000000000001</v>
      </c>
      <c r="H107" s="326"/>
      <c r="I107" s="41"/>
      <c r="J107" s="261" t="s">
        <v>579</v>
      </c>
    </row>
    <row r="108" spans="2:11" ht="18.600000000000001" customHeight="1" x14ac:dyDescent="0.3">
      <c r="B108" s="30"/>
      <c r="C108" s="135" t="s">
        <v>580</v>
      </c>
      <c r="D108" s="96">
        <f>IF(D107&lt;&gt;"",D94*D107*IF(D102=Reference!$AG$4,1,D103),"")</f>
        <v>1474.6000000000001</v>
      </c>
      <c r="E108" s="96">
        <f>IF(E107&lt;&gt;"",E94*E107*IF(E102=Reference!$AG$4,1,E103),"")</f>
        <v>442.38</v>
      </c>
      <c r="F108" s="96">
        <f>IF(F107&lt;&gt;"",F94*F107*IF(F102=Reference!$AG$4,1,F103),"")</f>
        <v>1032.22</v>
      </c>
      <c r="G108" s="96">
        <f>IF(G107&lt;&gt;"",G94*G107*IF(G102=Reference!$AG$4,1,G103),"")</f>
        <v>1032.22</v>
      </c>
      <c r="H108" s="96" t="str">
        <f>IF(H107&lt;&gt;"",H94*H107*IF(H102=Reference!$AG$4,1,H103),"")</f>
        <v/>
      </c>
      <c r="I108" s="41"/>
      <c r="J108" s="157"/>
    </row>
    <row r="109" spans="2:11" ht="18.600000000000001" customHeight="1" x14ac:dyDescent="0.3">
      <c r="B109" s="30"/>
      <c r="C109" s="41"/>
      <c r="D109" s="161"/>
      <c r="E109" s="38"/>
      <c r="F109" s="38"/>
      <c r="G109" s="38"/>
      <c r="H109" s="38"/>
      <c r="I109" s="41"/>
      <c r="J109" s="157"/>
    </row>
    <row r="110" spans="2:11" ht="18.600000000000001" customHeight="1" x14ac:dyDescent="0.3">
      <c r="B110" s="30"/>
      <c r="C110" s="271" t="str">
        <f>Reference!$AF$3</f>
        <v>File Server</v>
      </c>
      <c r="D110" s="161"/>
      <c r="E110" s="38"/>
      <c r="F110" s="38"/>
      <c r="G110" s="38"/>
      <c r="H110" s="38"/>
      <c r="I110" s="41"/>
      <c r="J110" s="157"/>
    </row>
    <row r="111" spans="2:11" ht="18.600000000000001" customHeight="1" x14ac:dyDescent="0.3">
      <c r="B111" s="30"/>
      <c r="C111" s="165" t="s">
        <v>434</v>
      </c>
      <c r="D111" s="34"/>
      <c r="E111" s="38"/>
      <c r="F111" s="38"/>
      <c r="G111" s="38"/>
      <c r="H111" s="38"/>
      <c r="I111" s="89"/>
      <c r="J111" s="153"/>
      <c r="K111" s="149"/>
    </row>
    <row r="112" spans="2:11" ht="18.600000000000001" customHeight="1" x14ac:dyDescent="0.3">
      <c r="B112" s="30"/>
      <c r="C112" s="50" t="s">
        <v>306</v>
      </c>
      <c r="D112" s="168">
        <f>IF(D$11&lt;&gt;"",INDEX('Default Values (MSFT Guidance)'!$C$8:$F$21,MATCH($C112,'Default Values (MSFT Guidance)'!$B$8:$B$21,0),MATCH(D$11,'Default Values (MSFT Guidance)'!$C$6:$F$6,0)),"")</f>
        <v>2000</v>
      </c>
      <c r="E112" s="168">
        <f>IF(E$11&lt;&gt;"",INDEX('Default Values (MSFT Guidance)'!$C$8:$F$21,MATCH($C112,'Default Values (MSFT Guidance)'!$B$8:$B$21,0),MATCH(E$11,'Default Values (MSFT Guidance)'!$C$6:$F$6,0)),"")</f>
        <v>2000</v>
      </c>
      <c r="F112" s="168">
        <f>IF(F$11&lt;&gt;"",INDEX('Default Values (MSFT Guidance)'!$C$8:$F$21,MATCH($C112,'Default Values (MSFT Guidance)'!$B$8:$B$21,0),MATCH(F$11,'Default Values (MSFT Guidance)'!$C$6:$F$6,0)),"")</f>
        <v>2000</v>
      </c>
      <c r="G112" s="168">
        <f>IF(G$11&lt;&gt;"",INDEX('Default Values (MSFT Guidance)'!$C$8:$F$21,MATCH($C112,'Default Values (MSFT Guidance)'!$B$8:$B$21,0),MATCH(G$11,'Default Values (MSFT Guidance)'!$C$6:$F$6,0)),"")</f>
        <v>2000</v>
      </c>
      <c r="H112" s="168" t="str">
        <f>IF(H$11&lt;&gt;"",INDEX('Default Values (MSFT Guidance)'!$C$8:$F$21,MATCH($C112,'Default Values (MSFT Guidance)'!$B$8:$B$21,0),MATCH(H$11,'Default Values (MSFT Guidance)'!$C$6:$F$6,0)),"")</f>
        <v/>
      </c>
      <c r="I112" s="89"/>
      <c r="J112" s="153"/>
      <c r="K112" s="149"/>
    </row>
    <row r="113" spans="2:11" ht="18.600000000000001" customHeight="1" x14ac:dyDescent="0.3">
      <c r="B113" s="30"/>
      <c r="C113" s="50" t="s">
        <v>307</v>
      </c>
      <c r="D113" s="321"/>
      <c r="E113" s="321"/>
      <c r="F113" s="321"/>
      <c r="G113" s="321"/>
      <c r="H113" s="321"/>
      <c r="I113" s="89"/>
      <c r="J113" s="153"/>
      <c r="K113" s="149"/>
    </row>
    <row r="114" spans="2:11" ht="18.600000000000001" customHeight="1" x14ac:dyDescent="0.3">
      <c r="B114" s="30"/>
      <c r="C114" s="50" t="s">
        <v>308</v>
      </c>
      <c r="D114" s="138">
        <f>IF(D112&lt;&gt;"",IF(D113&lt;&gt;"",D113,D112),"")</f>
        <v>2000</v>
      </c>
      <c r="E114" s="138">
        <f t="shared" ref="E114" si="24">IF(E112&lt;&gt;"",IF(E113&lt;&gt;"",E113,E112),"")</f>
        <v>2000</v>
      </c>
      <c r="F114" s="138">
        <f t="shared" ref="F114" si="25">IF(F112&lt;&gt;"",IF(F113&lt;&gt;"",F113,F112),"")</f>
        <v>2000</v>
      </c>
      <c r="G114" s="138">
        <f t="shared" ref="G114" si="26">IF(G112&lt;&gt;"",IF(G113&lt;&gt;"",G113,G112),"")</f>
        <v>2000</v>
      </c>
      <c r="H114" s="138" t="str">
        <f t="shared" ref="H114" si="27">IF(H112&lt;&gt;"",IF(H113&lt;&gt;"",H113,H112),"")</f>
        <v/>
      </c>
      <c r="I114" s="89"/>
      <c r="J114" s="153"/>
      <c r="K114" s="149"/>
    </row>
    <row r="115" spans="2:11" ht="18.600000000000001" customHeight="1" x14ac:dyDescent="0.3">
      <c r="B115" s="30"/>
      <c r="C115" s="63" t="s">
        <v>309</v>
      </c>
      <c r="D115" s="168" t="str">
        <f>IF(D$11&lt;&gt;"",INDEX('Default Values (MSFT Guidance)'!$C$8:$F$21,MATCH($C115,'Default Values (MSFT Guidance)'!$B$8:$B$21,0),MATCH(D$11,'Default Values (MSFT Guidance)'!$C$6:$F$6,0)),"")</f>
        <v>premium</v>
      </c>
      <c r="E115" s="168" t="str">
        <f>IF(E$11&lt;&gt;"",INDEX('Default Values (MSFT Guidance)'!$C$8:$F$21,MATCH($C115,'Default Values (MSFT Guidance)'!$B$8:$B$21,0),MATCH(E$11,'Default Values (MSFT Guidance)'!$C$6:$F$6,0)),"")</f>
        <v>premium</v>
      </c>
      <c r="F115" s="168" t="str">
        <f>IF(F$11&lt;&gt;"",INDEX('Default Values (MSFT Guidance)'!$C$8:$F$21,MATCH($C115,'Default Values (MSFT Guidance)'!$B$8:$B$21,0),MATCH(F$11,'Default Values (MSFT Guidance)'!$C$6:$F$6,0)),"")</f>
        <v>premium</v>
      </c>
      <c r="G115" s="168" t="str">
        <f>IF(G$11&lt;&gt;"",INDEX('Default Values (MSFT Guidance)'!$C$8:$F$21,MATCH($C115,'Default Values (MSFT Guidance)'!$B$8:$B$21,0),MATCH(G$11,'Default Values (MSFT Guidance)'!$C$6:$F$6,0)),"")</f>
        <v>premium</v>
      </c>
      <c r="H115" s="168" t="str">
        <f>IF(H$11&lt;&gt;"",INDEX('Default Values (MSFT Guidance)'!$C$8:$F$21,MATCH($C115,'Default Values (MSFT Guidance)'!$B$8:$B$21,0),MATCH(H$11,'Default Values (MSFT Guidance)'!$C$6:$F$6,0)),"")</f>
        <v/>
      </c>
      <c r="I115" s="89"/>
      <c r="J115" s="153"/>
      <c r="K115" s="149"/>
    </row>
    <row r="116" spans="2:11" ht="18.600000000000001" customHeight="1" x14ac:dyDescent="0.3">
      <c r="B116" s="30"/>
      <c r="C116" s="63" t="s">
        <v>310</v>
      </c>
      <c r="D116" s="321"/>
      <c r="E116" s="321"/>
      <c r="F116" s="321"/>
      <c r="G116" s="321"/>
      <c r="H116" s="321"/>
      <c r="I116" s="89"/>
      <c r="J116" s="153"/>
      <c r="K116" s="149"/>
    </row>
    <row r="117" spans="2:11" ht="18.600000000000001" customHeight="1" x14ac:dyDescent="0.3">
      <c r="B117" s="30"/>
      <c r="C117" s="63" t="s">
        <v>311</v>
      </c>
      <c r="D117" s="138" t="str">
        <f>IF(D115&lt;&gt;"",IF(D116&lt;&gt;"",D116,D115),"")</f>
        <v>premium</v>
      </c>
      <c r="E117" s="138" t="str">
        <f t="shared" ref="E117" si="28">IF(E115&lt;&gt;"",IF(E116&lt;&gt;"",E116,E115),"")</f>
        <v>premium</v>
      </c>
      <c r="F117" s="138" t="str">
        <f t="shared" ref="F117" si="29">IF(F115&lt;&gt;"",IF(F116&lt;&gt;"",F116,F115),"")</f>
        <v>premium</v>
      </c>
      <c r="G117" s="138" t="str">
        <f t="shared" ref="G117" si="30">IF(G115&lt;&gt;"",IF(G116&lt;&gt;"",G116,G115),"")</f>
        <v>premium</v>
      </c>
      <c r="H117" s="138" t="str">
        <f t="shared" ref="H117" si="31">IF(H115&lt;&gt;"",IF(H116&lt;&gt;"",H116,H115),"")</f>
        <v/>
      </c>
      <c r="I117" s="89"/>
      <c r="J117" s="153"/>
      <c r="K117" s="149"/>
    </row>
    <row r="118" spans="2:11" ht="18.600000000000001" customHeight="1" x14ac:dyDescent="0.3">
      <c r="B118" s="30"/>
      <c r="C118" s="50" t="s">
        <v>16</v>
      </c>
      <c r="D118" s="171" t="e">
        <f ca="1">IF(D114&lt;&gt;"",getManagedDisk(D114,D$9,D$10,,D117),"")</f>
        <v>#NAME?</v>
      </c>
      <c r="E118" s="171" t="e">
        <f ca="1">IF(E114&lt;&gt;"",getManagedDisk(E114,E$9,E$10,,E117),"")</f>
        <v>#NAME?</v>
      </c>
      <c r="F118" s="171" t="e">
        <f ca="1">IF(F114&lt;&gt;"",getManagedDisk(F114,F$9,F$10,,F117),"")</f>
        <v>#NAME?</v>
      </c>
      <c r="G118" s="171" t="e">
        <f ca="1">IF(G114&lt;&gt;"",getManagedDisk(G114,G$9,G$10,,G117),"")</f>
        <v>#NAME?</v>
      </c>
      <c r="H118" s="171" t="str">
        <f>IF(H114&lt;&gt;"",getManagedDisk(H114,H$9,H$10,,H117),"")</f>
        <v/>
      </c>
      <c r="I118" s="89"/>
      <c r="J118" s="153"/>
      <c r="K118" s="149"/>
    </row>
    <row r="119" spans="2:11" ht="18.600000000000001" customHeight="1" x14ac:dyDescent="0.3">
      <c r="B119" s="30"/>
      <c r="C119" s="50" t="s">
        <v>262</v>
      </c>
      <c r="D119" s="185" t="e">
        <f ca="1">IF(D118&lt;&gt;"",getMDiskData(D118,D$9,D$10,"size"),"")</f>
        <v>#NAME?</v>
      </c>
      <c r="E119" s="185" t="e">
        <f ca="1">IF(E118&lt;&gt;"",getMDiskData(E118,E$9,E$10,"size"),"")</f>
        <v>#NAME?</v>
      </c>
      <c r="F119" s="185" t="e">
        <f ca="1">IF(F118&lt;&gt;"",getMDiskData(F118,F$9,F$10,"size"),"")</f>
        <v>#NAME?</v>
      </c>
      <c r="G119" s="185" t="e">
        <f ca="1">IF(G118&lt;&gt;"",getMDiskData(G118,G$9,G$10,"size"),"")</f>
        <v>#NAME?</v>
      </c>
      <c r="H119" s="185" t="str">
        <f>IF(H118&lt;&gt;"",getMDiskData(H118,H$9,H$10,"size"),"")</f>
        <v/>
      </c>
      <c r="I119" s="41"/>
    </row>
    <row r="120" spans="2:11" ht="18.600000000000001" customHeight="1" x14ac:dyDescent="0.3">
      <c r="B120" s="30"/>
      <c r="C120" s="50" t="s">
        <v>260</v>
      </c>
      <c r="D120" s="185" t="e">
        <f ca="1">IF(D118&lt;&gt;"",getMDiskData(D118,D$9,D$10,"iops"),"")</f>
        <v>#NAME?</v>
      </c>
      <c r="E120" s="185" t="e">
        <f ca="1">IF(E118&lt;&gt;"",getMDiskData(E118,E$9,E$10,"iops"),"")</f>
        <v>#NAME?</v>
      </c>
      <c r="F120" s="185" t="e">
        <f ca="1">IF(F118&lt;&gt;"",getMDiskData(F118,F$9,F$10,"iops"),"")</f>
        <v>#NAME?</v>
      </c>
      <c r="G120" s="185" t="e">
        <f ca="1">IF(G118&lt;&gt;"",getMDiskData(G118,G$9,G$10,"iops"),"")</f>
        <v>#NAME?</v>
      </c>
      <c r="H120" s="185" t="str">
        <f>IF(H118&lt;&gt;"",getMDiskData(H118,H$9,H$10,"iops"),"")</f>
        <v/>
      </c>
      <c r="I120" s="41"/>
    </row>
    <row r="121" spans="2:11" ht="18.600000000000001" customHeight="1" x14ac:dyDescent="0.3">
      <c r="B121" s="30"/>
      <c r="C121" s="50" t="s">
        <v>261</v>
      </c>
      <c r="D121" s="185" t="e">
        <f ca="1">IF(D118&lt;&gt;"",getMDiskData(D118,D$9,D$10,"speed"),"")</f>
        <v>#NAME?</v>
      </c>
      <c r="E121" s="185" t="e">
        <f ca="1">IF(E118&lt;&gt;"",getMDiskData(E118,E$9,E$10,"speed"),"")</f>
        <v>#NAME?</v>
      </c>
      <c r="F121" s="185" t="e">
        <f ca="1">IF(F118&lt;&gt;"",getMDiskData(F118,F$9,F$10,"speed"),"")</f>
        <v>#NAME?</v>
      </c>
      <c r="G121" s="185" t="e">
        <f ca="1">IF(G118&lt;&gt;"",getMDiskData(G118,G$9,G$10,"speed"),"")</f>
        <v>#NAME?</v>
      </c>
      <c r="H121" s="185" t="str">
        <f>IF(H118&lt;&gt;"",getMDiskData(H118,H$9,H$10,"speed"),"")</f>
        <v/>
      </c>
      <c r="I121" s="41"/>
    </row>
    <row r="122" spans="2:11" ht="18.600000000000001" customHeight="1" x14ac:dyDescent="0.3">
      <c r="B122" s="30"/>
      <c r="C122" s="50" t="s">
        <v>353</v>
      </c>
      <c r="D122" s="181" t="e">
        <f ca="1">IF(D118&lt;&gt;"",getManagedDiskPriceMonth(D118,$D$9,$D$10),"")</f>
        <v>#NAME?</v>
      </c>
      <c r="E122" s="181" t="e">
        <f ca="1">IF(E118&lt;&gt;"",getManagedDiskPriceMonth(E118,$D$9,$D$10),"")</f>
        <v>#NAME?</v>
      </c>
      <c r="F122" s="181" t="e">
        <f ca="1">IF(F118&lt;&gt;"",getManagedDiskPriceMonth(F118,$D$9,$D$10),"")</f>
        <v>#NAME?</v>
      </c>
      <c r="G122" s="181" t="e">
        <f ca="1">IF(G118&lt;&gt;"",getManagedDiskPriceMonth(G118,$D$9,$D$10),"")</f>
        <v>#NAME?</v>
      </c>
      <c r="H122" s="181" t="str">
        <f>IF(H118&lt;&gt;"",getManagedDiskPriceMonth(H118,$D$9,$D$10),"")</f>
        <v/>
      </c>
      <c r="I122" s="89"/>
      <c r="J122" s="153"/>
    </row>
    <row r="123" spans="2:11" ht="18.600000000000001" customHeight="1" x14ac:dyDescent="0.3">
      <c r="B123" s="30"/>
      <c r="C123" s="50" t="s">
        <v>259</v>
      </c>
      <c r="D123" s="183" t="e">
        <f ca="1">IF(D119&lt;&gt;"",ROUNDUP(D94/D119,0),"")</f>
        <v>#NAME?</v>
      </c>
      <c r="E123" s="183" t="e">
        <f ca="1">IF(E119&lt;&gt;"",ROUNDUP(E94/E119,0),"")</f>
        <v>#NAME?</v>
      </c>
      <c r="F123" s="183" t="e">
        <f ca="1">IF(F119&lt;&gt;"",ROUNDUP(F94/F119,0),"")</f>
        <v>#NAME?</v>
      </c>
      <c r="G123" s="183" t="e">
        <f ca="1">IF(G119&lt;&gt;"",ROUNDUP(G94/G119,0),"")</f>
        <v>#NAME?</v>
      </c>
      <c r="H123" s="183" t="str">
        <f>IF(H119&lt;&gt;"",ROUNDUP(H94/H119,0),"")</f>
        <v/>
      </c>
      <c r="I123" s="41"/>
    </row>
    <row r="124" spans="2:11" ht="18.600000000000001" customHeight="1" x14ac:dyDescent="0.3">
      <c r="B124" s="41"/>
      <c r="C124" s="51" t="s">
        <v>354</v>
      </c>
      <c r="D124" s="184" t="e">
        <f ca="1">IF(D123&lt;&gt;"",D122*D123,"")</f>
        <v>#NAME?</v>
      </c>
      <c r="E124" s="184" t="e">
        <f t="shared" ref="E124:H124" ca="1" si="32">IF(E123&lt;&gt;"",E122*E123,"")</f>
        <v>#NAME?</v>
      </c>
      <c r="F124" s="184" t="e">
        <f t="shared" ca="1" si="32"/>
        <v>#NAME?</v>
      </c>
      <c r="G124" s="184" t="e">
        <f t="shared" ca="1" si="32"/>
        <v>#NAME?</v>
      </c>
      <c r="H124" s="184" t="str">
        <f t="shared" si="32"/>
        <v/>
      </c>
      <c r="I124" s="41"/>
      <c r="K124" s="151"/>
    </row>
    <row r="125" spans="2:11" ht="18.600000000000001" customHeight="1" x14ac:dyDescent="0.3">
      <c r="B125" s="41"/>
      <c r="C125" s="41"/>
      <c r="D125" s="38"/>
      <c r="E125" s="38"/>
      <c r="F125" s="38"/>
      <c r="G125" s="38"/>
      <c r="H125" s="38"/>
      <c r="I125" s="41"/>
      <c r="K125" s="151"/>
    </row>
    <row r="126" spans="2:11" ht="18.600000000000001" customHeight="1" x14ac:dyDescent="0.3">
      <c r="B126" s="41"/>
      <c r="C126" s="62" t="s">
        <v>563</v>
      </c>
      <c r="D126" s="90" t="s">
        <v>566</v>
      </c>
      <c r="E126" s="38"/>
      <c r="F126" s="38"/>
      <c r="G126" s="38"/>
      <c r="H126" s="38"/>
      <c r="I126" s="41"/>
      <c r="K126" s="151"/>
    </row>
    <row r="127" spans="2:11" ht="18.600000000000001" customHeight="1" x14ac:dyDescent="0.3">
      <c r="B127" s="41"/>
      <c r="C127" s="63" t="s">
        <v>263</v>
      </c>
      <c r="D127" s="314" t="s">
        <v>583</v>
      </c>
      <c r="E127" s="314" t="s">
        <v>265</v>
      </c>
      <c r="F127" s="314" t="s">
        <v>265</v>
      </c>
      <c r="G127" s="314" t="s">
        <v>265</v>
      </c>
      <c r="H127" s="314"/>
      <c r="I127" s="41"/>
      <c r="K127" s="151"/>
    </row>
    <row r="128" spans="2:11" ht="18.600000000000001" customHeight="1" x14ac:dyDescent="0.3">
      <c r="B128" s="41"/>
      <c r="C128" s="63" t="s">
        <v>329</v>
      </c>
      <c r="D128" s="133" t="str">
        <f>IF(D127&lt;&gt;"",'1. Opportunity Profile'!$D$8,"")</f>
        <v>Available</v>
      </c>
      <c r="E128" s="133" t="str">
        <f>IF(E127&lt;&gt;"",'1. Opportunity Profile'!$D$8,"")</f>
        <v>Available</v>
      </c>
      <c r="F128" s="133" t="str">
        <f>IF(F127&lt;&gt;"",'1. Opportunity Profile'!$D$8,"")</f>
        <v>Available</v>
      </c>
      <c r="G128" s="133" t="str">
        <f>IF(G127&lt;&gt;"",'1. Opportunity Profile'!$D$8,"")</f>
        <v>Available</v>
      </c>
      <c r="H128" s="133" t="str">
        <f>IF(H127&lt;&gt;"",'1. Opportunity Profile'!$D$8,"")</f>
        <v/>
      </c>
      <c r="I128" s="41"/>
      <c r="K128" s="151"/>
    </row>
    <row r="129" spans="2:11" ht="18.600000000000001" hidden="1" customHeight="1" x14ac:dyDescent="0.3">
      <c r="B129" s="41"/>
      <c r="C129" s="63" t="s">
        <v>571</v>
      </c>
      <c r="D129" s="133" t="str">
        <f>IF(D127&lt;&gt;"",IF(D128=Reference!$AD$3,"linux","windows")&amp;"-"&amp;LOWER(SUBSTITUTE(D127," ",""))&amp;"-standard","")</f>
        <v>linux-ds2v2-standard</v>
      </c>
      <c r="E129" s="133" t="str">
        <f>IF(E127&lt;&gt;"",IF(E128=Reference!$AD$3,"linux","windows")&amp;"-"&amp;LOWER(SUBSTITUTE(E127," ",""))&amp;"-standard","")</f>
        <v>linux-ds1v2-standard</v>
      </c>
      <c r="F129" s="133" t="str">
        <f>IF(F127&lt;&gt;"",IF(F128=Reference!$AD$3,"linux","windows")&amp;"-"&amp;LOWER(SUBSTITUTE(F127," ",""))&amp;"-standard","")</f>
        <v>linux-ds1v2-standard</v>
      </c>
      <c r="G129" s="133" t="str">
        <f>IF(G127&lt;&gt;"",IF(G128=Reference!$AD$3,"linux","windows")&amp;"-"&amp;LOWER(SUBSTITUTE(G127," ",""))&amp;"-standard","")</f>
        <v>linux-ds1v2-standard</v>
      </c>
      <c r="H129" s="133" t="str">
        <f>IF(H127&lt;&gt;"",IF(H128=Reference!$AD$3,"linux","windows")&amp;"-"&amp;LOWER(SUBSTITUTE(H127," ",""))&amp;"-standard","")</f>
        <v/>
      </c>
      <c r="I129" s="41"/>
      <c r="K129" s="151"/>
    </row>
    <row r="130" spans="2:11" ht="18.600000000000001" customHeight="1" x14ac:dyDescent="0.3">
      <c r="B130" s="41"/>
      <c r="C130" s="63" t="s">
        <v>567</v>
      </c>
      <c r="D130" s="133">
        <f>IF(D127&lt;&gt;"",IF(D28=Reference!$W$4,0,1),"")</f>
        <v>1</v>
      </c>
      <c r="E130" s="133">
        <f>IF(E127&lt;&gt;"",IF(E28=Reference!$W$4,0,1),"")</f>
        <v>1</v>
      </c>
      <c r="F130" s="133">
        <f>IF(F127&lt;&gt;"",IF(F28=Reference!$W$4,0,1),"")</f>
        <v>1</v>
      </c>
      <c r="G130" s="133">
        <f>IF(G127&lt;&gt;"",IF(G28=Reference!$W$4,0,1),"")</f>
        <v>1</v>
      </c>
      <c r="H130" s="133" t="str">
        <f>IF(H127&lt;&gt;"",IF(H28=Reference!$W$4,0,1),"")</f>
        <v/>
      </c>
      <c r="I130" s="41"/>
      <c r="K130" s="151"/>
    </row>
    <row r="131" spans="2:11" ht="18.600000000000001" customHeight="1" x14ac:dyDescent="0.3">
      <c r="B131" s="41"/>
      <c r="C131" s="63" t="s">
        <v>568</v>
      </c>
      <c r="D131" s="314">
        <v>2</v>
      </c>
      <c r="E131" s="314"/>
      <c r="F131" s="314"/>
      <c r="G131" s="314"/>
      <c r="H131" s="314"/>
      <c r="I131" s="41"/>
      <c r="K131" s="151"/>
    </row>
    <row r="132" spans="2:11" ht="18.600000000000001" customHeight="1" x14ac:dyDescent="0.3">
      <c r="B132" s="41"/>
      <c r="C132" s="50" t="s">
        <v>321</v>
      </c>
      <c r="D132" s="315" t="s">
        <v>455</v>
      </c>
      <c r="E132" s="315" t="s">
        <v>455</v>
      </c>
      <c r="F132" s="315" t="s">
        <v>455</v>
      </c>
      <c r="G132" s="315" t="s">
        <v>455</v>
      </c>
      <c r="H132" s="315"/>
      <c r="I132" s="41"/>
      <c r="K132" s="151"/>
    </row>
    <row r="133" spans="2:11" ht="18.600000000000001" customHeight="1" x14ac:dyDescent="0.3">
      <c r="B133" s="41"/>
      <c r="C133" s="63" t="s">
        <v>322</v>
      </c>
      <c r="D133" s="369">
        <v>500</v>
      </c>
      <c r="E133" s="369"/>
      <c r="F133" s="369"/>
      <c r="G133" s="369"/>
      <c r="H133" s="369"/>
      <c r="I133" s="41"/>
      <c r="K133" s="151"/>
    </row>
    <row r="134" spans="2:11" ht="18.600000000000001" customHeight="1" x14ac:dyDescent="0.3">
      <c r="B134" s="41"/>
      <c r="C134" s="63" t="s">
        <v>335</v>
      </c>
      <c r="D134" s="172" t="e">
        <f ca="1">IF(D127&lt;&gt;"",getVMPriceHour(D129,VLOOKUP(D132,Reference!$L$3:$M$5,2,FALSE),D$9,D$10),"")</f>
        <v>#NAME?</v>
      </c>
      <c r="E134" s="172" t="e">
        <f ca="1">IF(E127&lt;&gt;"",getVMPriceHour(E129,VLOOKUP(E132,Reference!$L$3:$M$5,2,FALSE),E$9,E$10),"")</f>
        <v>#NAME?</v>
      </c>
      <c r="F134" s="172" t="e">
        <f ca="1">IF(F127&lt;&gt;"",getVMPriceHour(F129,VLOOKUP(F132,Reference!$L$3:$M$5,2,FALSE),F$9,F$10),"")</f>
        <v>#NAME?</v>
      </c>
      <c r="G134" s="172" t="e">
        <f ca="1">IF(G127&lt;&gt;"",getVMPriceHour(G129,VLOOKUP(G132,Reference!$L$3:$M$5,2,FALSE),G$9,G$10),"")</f>
        <v>#NAME?</v>
      </c>
      <c r="H134" s="172" t="str">
        <f>IF(H127&lt;&gt;"",getVMPriceHour(H129,VLOOKUP(H132,Reference!$L$3:$M$5,2,FALSE),H$9,H$10),"")</f>
        <v/>
      </c>
      <c r="I134" s="41"/>
      <c r="K134" s="151"/>
    </row>
    <row r="135" spans="2:11" ht="18.600000000000001" customHeight="1" x14ac:dyDescent="0.3">
      <c r="B135" s="41"/>
      <c r="C135" s="65" t="s">
        <v>564</v>
      </c>
      <c r="D135" s="178" t="e">
        <f ca="1">IF(D131&lt;&gt;"",D131*D134*IF(D132=Reference!$L$3,D133,$L$19),"")</f>
        <v>#NAME?</v>
      </c>
      <c r="E135" s="178" t="str">
        <f>IF(E131&lt;&gt;"",E131*E134*IF(E132=Reference!$L$3,E133,$L$19),"")</f>
        <v/>
      </c>
      <c r="F135" s="178" t="str">
        <f>IF(F131&lt;&gt;"",F131*F134*IF(F132=Reference!$L$3,F133,$L$19),"")</f>
        <v/>
      </c>
      <c r="G135" s="178" t="str">
        <f>IF(G131&lt;&gt;"",G131*G134*IF(G132=Reference!$L$3,G133,$L$19),"")</f>
        <v/>
      </c>
      <c r="H135" s="178" t="str">
        <f>IF(H131&lt;&gt;"",H131*H134*IF(H132=Reference!$L$3,H133,$L$19),"")</f>
        <v/>
      </c>
      <c r="I135" s="41"/>
      <c r="K135" s="151"/>
    </row>
    <row r="136" spans="2:11" ht="18.600000000000001" customHeight="1" x14ac:dyDescent="0.3">
      <c r="B136" s="41"/>
      <c r="C136" s="41"/>
      <c r="D136" s="38"/>
      <c r="E136" s="38"/>
      <c r="F136" s="38"/>
      <c r="G136" s="38"/>
      <c r="H136" s="38"/>
      <c r="I136" s="41"/>
      <c r="K136" s="151"/>
    </row>
    <row r="137" spans="2:11" ht="18.600000000000001" customHeight="1" x14ac:dyDescent="0.3">
      <c r="B137" s="41"/>
      <c r="C137" s="62" t="s">
        <v>573</v>
      </c>
      <c r="D137" s="38"/>
      <c r="E137" s="38"/>
      <c r="F137" s="38"/>
      <c r="G137" s="38"/>
      <c r="H137" s="38"/>
      <c r="I137" s="41"/>
      <c r="K137" s="151"/>
    </row>
    <row r="138" spans="2:11" ht="18.600000000000001" customHeight="1" x14ac:dyDescent="0.3">
      <c r="B138" s="41"/>
      <c r="C138" s="63" t="s">
        <v>298</v>
      </c>
      <c r="D138" s="168">
        <f>IF(D$127&lt;&gt;"",INDEX('Default Values (MSFT Guidance)'!$C$8:$F$21,MATCH($C138,'Default Values (MSFT Guidance)'!$B$8:$B$21,0),MATCH(D$11,'Default Values (MSFT Guidance)'!$C$6:$F$6,0)),"")</f>
        <v>127</v>
      </c>
      <c r="E138" s="168">
        <f>IF(E$127&lt;&gt;"",INDEX('Default Values (MSFT Guidance)'!$C$8:$F$21,MATCH($C138,'Default Values (MSFT Guidance)'!$B$8:$B$21,0),MATCH(E$11,'Default Values (MSFT Guidance)'!$C$6:$F$6,0)),"")</f>
        <v>127</v>
      </c>
      <c r="F138" s="168">
        <f>IF(F$127&lt;&gt;"",INDEX('Default Values (MSFT Guidance)'!$C$8:$F$21,MATCH($C138,'Default Values (MSFT Guidance)'!$B$8:$B$21,0),MATCH(F$11,'Default Values (MSFT Guidance)'!$C$6:$F$6,0)),"")</f>
        <v>127</v>
      </c>
      <c r="G138" s="168">
        <f>IF(G$127&lt;&gt;"",INDEX('Default Values (MSFT Guidance)'!$C$8:$F$21,MATCH($C138,'Default Values (MSFT Guidance)'!$B$8:$B$21,0),MATCH(G$11,'Default Values (MSFT Guidance)'!$C$6:$F$6,0)),"")</f>
        <v>127</v>
      </c>
      <c r="H138" s="168" t="str">
        <f>IF(H$127&lt;&gt;"",INDEX('Default Values (MSFT Guidance)'!$C$8:$F$21,MATCH($C138,'Default Values (MSFT Guidance)'!$B$8:$B$21,0),MATCH(H$11,'Default Values (MSFT Guidance)'!$C$6:$F$6,0)),"")</f>
        <v/>
      </c>
      <c r="I138" s="41"/>
      <c r="K138" s="151"/>
    </row>
    <row r="139" spans="2:11" ht="18.600000000000001" customHeight="1" x14ac:dyDescent="0.3">
      <c r="B139" s="41"/>
      <c r="C139" s="63" t="s">
        <v>554</v>
      </c>
      <c r="D139" s="321"/>
      <c r="E139" s="321"/>
      <c r="F139" s="321"/>
      <c r="G139" s="321"/>
      <c r="H139" s="321"/>
      <c r="I139" s="41"/>
      <c r="K139" s="151"/>
    </row>
    <row r="140" spans="2:11" ht="18.600000000000001" customHeight="1" x14ac:dyDescent="0.3">
      <c r="B140" s="41"/>
      <c r="C140" s="63" t="s">
        <v>555</v>
      </c>
      <c r="D140" s="138">
        <f>IF(D138&lt;&gt;"",IF(D139&lt;&gt;"",D139,D138),"")</f>
        <v>127</v>
      </c>
      <c r="E140" s="138">
        <f t="shared" ref="E140:H140" si="33">IF(E138&lt;&gt;"",IF(E139&lt;&gt;"",E139,E138),"")</f>
        <v>127</v>
      </c>
      <c r="F140" s="138">
        <f t="shared" si="33"/>
        <v>127</v>
      </c>
      <c r="G140" s="138">
        <f t="shared" si="33"/>
        <v>127</v>
      </c>
      <c r="H140" s="138" t="str">
        <f t="shared" si="33"/>
        <v/>
      </c>
      <c r="I140" s="41"/>
      <c r="K140" s="151"/>
    </row>
    <row r="141" spans="2:11" ht="18.600000000000001" customHeight="1" x14ac:dyDescent="0.3">
      <c r="B141" s="41"/>
      <c r="C141" s="63" t="s">
        <v>299</v>
      </c>
      <c r="D141" s="168">
        <f>IF(D$127&lt;&gt;"",INDEX('Default Values (MSFT Guidance)'!$C$8:$F$21,MATCH($C141,'Default Values (MSFT Guidance)'!$B$8:$B$21,0),MATCH(D$11,'Default Values (MSFT Guidance)'!$C$6:$F$6,0)),"")</f>
        <v>1</v>
      </c>
      <c r="E141" s="168">
        <f>IF(E$127&lt;&gt;"",INDEX('Default Values (MSFT Guidance)'!$C$8:$F$21,MATCH($C141,'Default Values (MSFT Guidance)'!$B$8:$B$21,0),MATCH(E$11,'Default Values (MSFT Guidance)'!$C$6:$F$6,0)),"")</f>
        <v>1</v>
      </c>
      <c r="F141" s="168">
        <f>IF(F$127&lt;&gt;"",INDEX('Default Values (MSFT Guidance)'!$C$8:$F$21,MATCH($C141,'Default Values (MSFT Guidance)'!$B$8:$B$21,0),MATCH(F$11,'Default Values (MSFT Guidance)'!$C$6:$F$6,0)),"")</f>
        <v>1</v>
      </c>
      <c r="G141" s="168">
        <f>IF(G$127&lt;&gt;"",INDEX('Default Values (MSFT Guidance)'!$C$8:$F$21,MATCH($C141,'Default Values (MSFT Guidance)'!$B$8:$B$21,0),MATCH(G$11,'Default Values (MSFT Guidance)'!$C$6:$F$6,0)),"")</f>
        <v>1</v>
      </c>
      <c r="H141" s="168" t="str">
        <f>IF(H$127&lt;&gt;"",INDEX('Default Values (MSFT Guidance)'!$C$8:$F$21,MATCH($C141,'Default Values (MSFT Guidance)'!$B$8:$B$21,0),MATCH(H$11,'Default Values (MSFT Guidance)'!$C$6:$F$6,0)),"")</f>
        <v/>
      </c>
      <c r="I141" s="41"/>
      <c r="K141" s="151"/>
    </row>
    <row r="142" spans="2:11" ht="18.600000000000001" customHeight="1" x14ac:dyDescent="0.3">
      <c r="B142" s="41"/>
      <c r="C142" s="63" t="s">
        <v>300</v>
      </c>
      <c r="D142" s="168" t="str">
        <f>IF(D$127&lt;&gt;"",INDEX('Default Values (MSFT Guidance)'!$C$8:$F$21,MATCH($C142,'Default Values (MSFT Guidance)'!$B$8:$B$21,0),MATCH(D$11,'Default Values (MSFT Guidance)'!$C$6:$F$6,0)),"")</f>
        <v>premium</v>
      </c>
      <c r="E142" s="168" t="str">
        <f>IF(E$127&lt;&gt;"",INDEX('Default Values (MSFT Guidance)'!$C$8:$F$21,MATCH($C142,'Default Values (MSFT Guidance)'!$B$8:$B$21,0),MATCH(E$11,'Default Values (MSFT Guidance)'!$C$6:$F$6,0)),"")</f>
        <v>premium</v>
      </c>
      <c r="F142" s="168" t="str">
        <f>IF(F$127&lt;&gt;"",INDEX('Default Values (MSFT Guidance)'!$C$8:$F$21,MATCH($C142,'Default Values (MSFT Guidance)'!$B$8:$B$21,0),MATCH(F$11,'Default Values (MSFT Guidance)'!$C$6:$F$6,0)),"")</f>
        <v>premium</v>
      </c>
      <c r="G142" s="168" t="str">
        <f>IF(G$127&lt;&gt;"",INDEX('Default Values (MSFT Guidance)'!$C$8:$F$21,MATCH($C142,'Default Values (MSFT Guidance)'!$B$8:$B$21,0),MATCH(G$11,'Default Values (MSFT Guidance)'!$C$6:$F$6,0)),"")</f>
        <v>premium</v>
      </c>
      <c r="H142" s="168" t="str">
        <f>IF(H$127&lt;&gt;"",INDEX('Default Values (MSFT Guidance)'!$C$8:$F$21,MATCH($C142,'Default Values (MSFT Guidance)'!$B$8:$B$21,0),MATCH(H$11,'Default Values (MSFT Guidance)'!$C$6:$F$6,0)),"")</f>
        <v/>
      </c>
      <c r="I142" s="41"/>
      <c r="K142" s="151"/>
    </row>
    <row r="143" spans="2:11" ht="18.600000000000001" customHeight="1" x14ac:dyDescent="0.3">
      <c r="B143" s="41"/>
      <c r="C143" s="63" t="s">
        <v>301</v>
      </c>
      <c r="D143" s="321"/>
      <c r="E143" s="321"/>
      <c r="F143" s="321"/>
      <c r="G143" s="321"/>
      <c r="H143" s="321"/>
      <c r="I143" s="41"/>
      <c r="K143" s="151"/>
    </row>
    <row r="144" spans="2:11" ht="18.600000000000001" customHeight="1" x14ac:dyDescent="0.3">
      <c r="B144" s="41"/>
      <c r="C144" s="63" t="s">
        <v>302</v>
      </c>
      <c r="D144" s="138" t="str">
        <f>IF(D142&lt;&gt;"",IF(D143&lt;&gt;"",D143,D142),"")</f>
        <v>premium</v>
      </c>
      <c r="E144" s="138" t="str">
        <f t="shared" ref="E144:H144" si="34">IF(E142&lt;&gt;"",IF(E143&lt;&gt;"",E143,E142),"")</f>
        <v>premium</v>
      </c>
      <c r="F144" s="138" t="str">
        <f t="shared" si="34"/>
        <v>premium</v>
      </c>
      <c r="G144" s="138" t="str">
        <f t="shared" si="34"/>
        <v>premium</v>
      </c>
      <c r="H144" s="138" t="str">
        <f t="shared" si="34"/>
        <v/>
      </c>
      <c r="I144" s="41"/>
      <c r="K144" s="151"/>
    </row>
    <row r="145" spans="2:11" ht="18.600000000000001" customHeight="1" x14ac:dyDescent="0.3">
      <c r="B145" s="41"/>
      <c r="C145" s="50" t="s">
        <v>256</v>
      </c>
      <c r="D145" s="179" t="e">
        <f ca="1">IF(D140&lt;&gt;"",getManagedDisk(D140,D$9,D$10,,D144),"")</f>
        <v>#NAME?</v>
      </c>
      <c r="E145" s="179" t="e">
        <f ca="1">IF(E140&lt;&gt;"",getManagedDisk(E140,E$9,E$10,,E144),"")</f>
        <v>#NAME?</v>
      </c>
      <c r="F145" s="179" t="e">
        <f ca="1">IF(F140&lt;&gt;"",getManagedDisk(F140,F$9,F$10,,F144),"")</f>
        <v>#NAME?</v>
      </c>
      <c r="G145" s="179" t="e">
        <f ca="1">IF(G140&lt;&gt;"",getManagedDisk(G140,G$9,G$10,,G144),"")</f>
        <v>#NAME?</v>
      </c>
      <c r="H145" s="179" t="str">
        <f>IF(H140&lt;&gt;"",getManagedDisk(H140,H$9,H$10,,H144),"")</f>
        <v/>
      </c>
      <c r="I145" s="41"/>
      <c r="K145" s="151"/>
    </row>
    <row r="146" spans="2:11" ht="18.600000000000001" customHeight="1" x14ac:dyDescent="0.3">
      <c r="B146" s="41"/>
      <c r="C146" s="50" t="s">
        <v>257</v>
      </c>
      <c r="D146" s="180" t="e">
        <f ca="1">IF(D145&lt;&gt;"",getMDiskData(D145,D$9,D$10,"size"),"")</f>
        <v>#NAME?</v>
      </c>
      <c r="E146" s="180" t="e">
        <f ca="1">IF(E145&lt;&gt;"",getMDiskData(E145,E$9,E$10,"size"),"")</f>
        <v>#NAME?</v>
      </c>
      <c r="F146" s="180" t="e">
        <f ca="1">IF(F145&lt;&gt;"",getMDiskData(F145,F$9,F$10,"size"),"")</f>
        <v>#NAME?</v>
      </c>
      <c r="G146" s="180" t="e">
        <f ca="1">IF(G145&lt;&gt;"",getMDiskData(G145,G$9,G$10,"size"),"")</f>
        <v>#NAME?</v>
      </c>
      <c r="H146" s="180" t="str">
        <f>IF(H145&lt;&gt;"",getMDiskData(H145,H$9,H$10,"size"),"")</f>
        <v/>
      </c>
      <c r="I146" s="41"/>
      <c r="K146" s="151"/>
    </row>
    <row r="147" spans="2:11" ht="18.600000000000001" customHeight="1" x14ac:dyDescent="0.3">
      <c r="B147" s="41"/>
      <c r="C147" s="50" t="s">
        <v>260</v>
      </c>
      <c r="D147" s="180" t="e">
        <f ca="1">IF(D145&lt;&gt;"",getMDiskData(D145,D$9,D$10,"iops"),"")</f>
        <v>#NAME?</v>
      </c>
      <c r="E147" s="180" t="e">
        <f ca="1">IF(E145&lt;&gt;"",getMDiskData(E145,E$9,E$10,"iops"),"")</f>
        <v>#NAME?</v>
      </c>
      <c r="F147" s="180" t="e">
        <f ca="1">IF(F145&lt;&gt;"",getMDiskData(F145,F$9,F$10,"iops"),"")</f>
        <v>#NAME?</v>
      </c>
      <c r="G147" s="180" t="e">
        <f ca="1">IF(G145&lt;&gt;"",getMDiskData(G145,G$9,G$10,"iops"),"")</f>
        <v>#NAME?</v>
      </c>
      <c r="H147" s="180" t="str">
        <f>IF(H145&lt;&gt;"",getMDiskData(H145,H$9,H$10,"iops"),"")</f>
        <v/>
      </c>
      <c r="I147" s="41"/>
      <c r="K147" s="151"/>
    </row>
    <row r="148" spans="2:11" ht="18.600000000000001" customHeight="1" x14ac:dyDescent="0.3">
      <c r="B148" s="41"/>
      <c r="C148" s="50" t="s">
        <v>266</v>
      </c>
      <c r="D148" s="180" t="e">
        <f ca="1">IF(D145&lt;&gt;"",getMDiskData(D145,D$9,D$10,"speed"),"")</f>
        <v>#NAME?</v>
      </c>
      <c r="E148" s="180" t="e">
        <f ca="1">IF(E145&lt;&gt;"",getMDiskData(E145,E$9,E$10,"speed"),"")</f>
        <v>#NAME?</v>
      </c>
      <c r="F148" s="180" t="e">
        <f ca="1">IF(F145&lt;&gt;"",getMDiskData(F145,F$9,F$10,"speed"),"")</f>
        <v>#NAME?</v>
      </c>
      <c r="G148" s="180" t="e">
        <f ca="1">IF(G145&lt;&gt;"",getMDiskData(G145,G$9,G$10,"speed"),"")</f>
        <v>#NAME?</v>
      </c>
      <c r="H148" s="180" t="str">
        <f>IF(H145&lt;&gt;"",getMDiskData(H145,H$9,H$10,"speed"),"")</f>
        <v/>
      </c>
      <c r="I148" s="41"/>
      <c r="K148" s="151"/>
    </row>
    <row r="149" spans="2:11" ht="18.600000000000001" customHeight="1" x14ac:dyDescent="0.3">
      <c r="B149" s="41"/>
      <c r="C149" s="50" t="s">
        <v>350</v>
      </c>
      <c r="D149" s="181" t="e">
        <f ca="1">IF(D145&lt;&gt;"",getManagedDiskPriceMonth(D145,D$9,D$10),"")</f>
        <v>#NAME?</v>
      </c>
      <c r="E149" s="181" t="e">
        <f ca="1">IF(E145&lt;&gt;"",getManagedDiskPriceMonth(E145,E$9,E$10),"")</f>
        <v>#NAME?</v>
      </c>
      <c r="F149" s="181" t="e">
        <f ca="1">IF(F145&lt;&gt;"",getManagedDiskPriceMonth(F145,F$9,F$10),"")</f>
        <v>#NAME?</v>
      </c>
      <c r="G149" s="181" t="e">
        <f ca="1">IF(G145&lt;&gt;"",getManagedDiskPriceMonth(G145,G$9,G$10),"")</f>
        <v>#NAME?</v>
      </c>
      <c r="H149" s="181" t="str">
        <f>IF(H145&lt;&gt;"",getManagedDiskPriceMonth(H145,H$9,H$10),"")</f>
        <v/>
      </c>
      <c r="I149" s="41"/>
      <c r="K149" s="151"/>
    </row>
    <row r="150" spans="2:11" ht="18.600000000000001" customHeight="1" x14ac:dyDescent="0.3">
      <c r="B150" s="41"/>
      <c r="C150" s="50" t="s">
        <v>351</v>
      </c>
      <c r="D150" s="182" t="e">
        <f ca="1">IF(D149&lt;&gt;"",D141*D149,"")</f>
        <v>#NAME?</v>
      </c>
      <c r="E150" s="182" t="e">
        <f ca="1">IF(E149&lt;&gt;"",E141*E149,"")</f>
        <v>#NAME?</v>
      </c>
      <c r="F150" s="182" t="e">
        <f ca="1">IF(F149&lt;&gt;"",F141*F149,"")</f>
        <v>#NAME?</v>
      </c>
      <c r="G150" s="182" t="e">
        <f ca="1">IF(G149&lt;&gt;"",G141*G149,"")</f>
        <v>#NAME?</v>
      </c>
      <c r="H150" s="182" t="str">
        <f>IF(H149&lt;&gt;"",H141*H149,"")</f>
        <v/>
      </c>
      <c r="I150" s="41"/>
      <c r="K150" s="151"/>
    </row>
    <row r="151" spans="2:11" ht="18.600000000000001" customHeight="1" x14ac:dyDescent="0.3">
      <c r="B151" s="41"/>
      <c r="C151" s="50" t="s">
        <v>264</v>
      </c>
      <c r="D151" s="183">
        <f>IF(D131&lt;&gt;"",D131,"")</f>
        <v>2</v>
      </c>
      <c r="E151" s="183" t="str">
        <f t="shared" ref="E151:H151" si="35">IF(E131&lt;&gt;"",E131,"")</f>
        <v/>
      </c>
      <c r="F151" s="183" t="str">
        <f t="shared" si="35"/>
        <v/>
      </c>
      <c r="G151" s="183" t="str">
        <f t="shared" si="35"/>
        <v/>
      </c>
      <c r="H151" s="183" t="str">
        <f t="shared" si="35"/>
        <v/>
      </c>
      <c r="I151" s="41"/>
      <c r="K151" s="151"/>
    </row>
    <row r="152" spans="2:11" ht="18.600000000000001" customHeight="1" x14ac:dyDescent="0.3">
      <c r="B152" s="41"/>
      <c r="C152" s="50" t="s">
        <v>352</v>
      </c>
      <c r="D152" s="182" t="e">
        <f ca="1">IF(D129&lt;&gt;"",D151*D150,"")</f>
        <v>#NAME?</v>
      </c>
      <c r="E152" s="182" t="e">
        <f t="shared" ref="E152:H152" ca="1" si="36">IF(E129&lt;&gt;"",E151*E150,"")</f>
        <v>#VALUE!</v>
      </c>
      <c r="F152" s="182" t="e">
        <f t="shared" ca="1" si="36"/>
        <v>#VALUE!</v>
      </c>
      <c r="G152" s="182" t="e">
        <f t="shared" ca="1" si="36"/>
        <v>#VALUE!</v>
      </c>
      <c r="H152" s="182" t="str">
        <f t="shared" si="36"/>
        <v/>
      </c>
      <c r="I152" s="41"/>
      <c r="K152" s="151"/>
    </row>
    <row r="153" spans="2:11" ht="18.600000000000001" customHeight="1" x14ac:dyDescent="0.3">
      <c r="B153" s="41"/>
      <c r="C153" s="51" t="s">
        <v>570</v>
      </c>
      <c r="D153" s="184" t="e">
        <f ca="1">IF(D152&lt;&gt;"",SUM(D152:D152),"")</f>
        <v>#NAME?</v>
      </c>
      <c r="E153" s="184" t="e">
        <f t="shared" ref="E153:H153" ca="1" si="37">IF(E152&lt;&gt;"",SUM(E152:E152),"")</f>
        <v>#VALUE!</v>
      </c>
      <c r="F153" s="184" t="e">
        <f t="shared" ca="1" si="37"/>
        <v>#VALUE!</v>
      </c>
      <c r="G153" s="184" t="e">
        <f t="shared" ca="1" si="37"/>
        <v>#VALUE!</v>
      </c>
      <c r="H153" s="184" t="str">
        <f t="shared" si="37"/>
        <v/>
      </c>
      <c r="I153" s="41"/>
      <c r="K153" s="151"/>
    </row>
    <row r="154" spans="2:11" ht="18.600000000000001" customHeight="1" x14ac:dyDescent="0.3">
      <c r="B154" s="41"/>
      <c r="C154" s="41"/>
      <c r="D154" s="38"/>
      <c r="E154" s="38"/>
      <c r="F154" s="38"/>
      <c r="G154" s="38"/>
      <c r="H154" s="38"/>
      <c r="I154" s="41"/>
      <c r="K154" s="151"/>
    </row>
    <row r="155" spans="2:11" ht="18.600000000000001" customHeight="1" x14ac:dyDescent="0.3">
      <c r="B155" s="41"/>
      <c r="C155" s="51" t="s">
        <v>581</v>
      </c>
      <c r="D155" s="184" t="e">
        <f ca="1">IF(D91&lt;&gt;"",SUM(D124,D135,D153),"")</f>
        <v>#NAME?</v>
      </c>
      <c r="E155" s="184" t="e">
        <f ca="1">IF(E91&lt;&gt;"",SUM(E124,E135,E153),"")</f>
        <v>#NAME?</v>
      </c>
      <c r="F155" s="184" t="e">
        <f ca="1">IF(F91&lt;&gt;"",SUM(F124,F135,F153),"")</f>
        <v>#NAME?</v>
      </c>
      <c r="G155" s="184" t="e">
        <f ca="1">IF(G91&lt;&gt;"",SUM(G124,G135,G153),"")</f>
        <v>#NAME?</v>
      </c>
      <c r="H155" s="184" t="str">
        <f>IF(H91&lt;&gt;"",SUM(H124,H135,H153),"")</f>
        <v/>
      </c>
      <c r="I155" s="41"/>
      <c r="K155" s="151"/>
    </row>
    <row r="156" spans="2:11" ht="18.600000000000001" customHeight="1" x14ac:dyDescent="0.3">
      <c r="B156" s="41"/>
      <c r="C156" s="41"/>
      <c r="D156" s="38"/>
      <c r="E156" s="38"/>
      <c r="F156" s="38"/>
      <c r="G156" s="38"/>
      <c r="H156" s="38"/>
      <c r="I156" s="41"/>
      <c r="K156" s="151"/>
    </row>
    <row r="157" spans="2:11" ht="18.600000000000001" customHeight="1" x14ac:dyDescent="0.3">
      <c r="B157" s="157"/>
      <c r="C157" s="157"/>
      <c r="D157" s="250"/>
      <c r="E157" s="250"/>
      <c r="F157" s="250"/>
      <c r="G157" s="250"/>
      <c r="H157" s="250"/>
      <c r="I157" s="157"/>
      <c r="K157" s="151"/>
    </row>
    <row r="158" spans="2:11" ht="18.600000000000001" customHeight="1" x14ac:dyDescent="0.3">
      <c r="B158" s="41"/>
      <c r="C158" s="270" t="s">
        <v>225</v>
      </c>
      <c r="D158" s="38"/>
      <c r="E158" s="38"/>
      <c r="F158" s="38"/>
      <c r="G158" s="38"/>
      <c r="H158" s="38"/>
      <c r="I158" s="41"/>
      <c r="K158" s="151"/>
    </row>
    <row r="159" spans="2:11" ht="18.600000000000001" customHeight="1" x14ac:dyDescent="0.3">
      <c r="B159" s="41"/>
      <c r="C159" s="41"/>
      <c r="D159" s="38"/>
      <c r="E159" s="38"/>
      <c r="F159" s="38"/>
      <c r="G159" s="38"/>
      <c r="H159" s="38"/>
      <c r="I159" s="41"/>
      <c r="K159" s="151"/>
    </row>
    <row r="160" spans="2:11" ht="18.600000000000001" customHeight="1" x14ac:dyDescent="0.3">
      <c r="B160" s="30"/>
      <c r="C160" s="165" t="s">
        <v>324</v>
      </c>
      <c r="D160" s="162"/>
      <c r="E160" s="38"/>
      <c r="F160" s="38"/>
      <c r="G160" s="38"/>
      <c r="H160" s="38"/>
      <c r="I160" s="41"/>
    </row>
    <row r="161" spans="2:11" ht="18.600000000000001" customHeight="1" x14ac:dyDescent="0.3">
      <c r="B161" s="30"/>
      <c r="C161" s="50" t="s">
        <v>141</v>
      </c>
      <c r="D161" s="133" t="str">
        <f>IF(D9&lt;&gt;"",D9,"")</f>
        <v>us-west</v>
      </c>
      <c r="E161" s="133" t="str">
        <f>IF(E9&lt;&gt;"",E9,"")</f>
        <v>us-west</v>
      </c>
      <c r="F161" s="133" t="str">
        <f>IF(F9&lt;&gt;"",F9,"")</f>
        <v>us-west</v>
      </c>
      <c r="G161" s="133" t="str">
        <f>IF(G9&lt;&gt;"",G9,"")</f>
        <v>us-west</v>
      </c>
      <c r="H161" s="133" t="str">
        <f>IF(H9&lt;&gt;"",H9,"")</f>
        <v/>
      </c>
      <c r="I161" s="89"/>
      <c r="J161" s="153"/>
      <c r="K161" s="153"/>
    </row>
    <row r="162" spans="2:11" ht="18.600000000000001" customHeight="1" x14ac:dyDescent="0.3">
      <c r="B162" s="30"/>
      <c r="C162" s="50" t="s">
        <v>142</v>
      </c>
      <c r="D162" s="314" t="s">
        <v>97</v>
      </c>
      <c r="E162" s="314" t="s">
        <v>97</v>
      </c>
      <c r="F162" s="314" t="s">
        <v>97</v>
      </c>
      <c r="G162" s="314" t="s">
        <v>85</v>
      </c>
      <c r="H162" s="314"/>
      <c r="I162" s="41"/>
    </row>
    <row r="163" spans="2:11" ht="18.600000000000001" customHeight="1" x14ac:dyDescent="0.3">
      <c r="B163" s="30"/>
      <c r="C163" s="50" t="s">
        <v>143</v>
      </c>
      <c r="D163" s="133" t="str">
        <f>IF(D161&lt;&gt;"",IF(D161=D162,Reference!$N$3,Reference!$N$4),"")</f>
        <v>Same Region</v>
      </c>
      <c r="E163" s="133" t="str">
        <f>IF(E161&lt;&gt;"",IF(E161=E162,Reference!$N$3,Reference!$N$4),"")</f>
        <v>Same Region</v>
      </c>
      <c r="F163" s="133" t="str">
        <f>IF(F161&lt;&gt;"",IF(F161=F162,Reference!$N$3,Reference!$N$4),"")</f>
        <v>Same Region</v>
      </c>
      <c r="G163" s="133" t="str">
        <f>IF(G161&lt;&gt;"",IF(G161=G162,Reference!$N$3,Reference!$N$4),"")</f>
        <v>Across Region</v>
      </c>
      <c r="H163" s="133" t="str">
        <f>IF(H161&lt;&gt;"",IF(H161=H162,Reference!$N$3,Reference!$N$4),"")</f>
        <v/>
      </c>
      <c r="I163" s="41"/>
    </row>
    <row r="164" spans="2:11" ht="18.600000000000001" customHeight="1" x14ac:dyDescent="0.3">
      <c r="B164" s="30"/>
      <c r="C164" s="50" t="s">
        <v>312</v>
      </c>
      <c r="D164" s="168">
        <f>IF(D$11&lt;&gt;"",INDEX('Default Values (MSFT Guidance)'!$C$8:$F$21,MATCH($C164,'Default Values (MSFT Guidance)'!$B$8:$B$21,0),MATCH(D$11,'Default Values (MSFT Guidance)'!$C$6:$F$6,0)),"")</f>
        <v>50</v>
      </c>
      <c r="E164" s="168">
        <f>IF(E$11&lt;&gt;"",INDEX('Default Values (MSFT Guidance)'!$C$8:$F$21,MATCH($C164,'Default Values (MSFT Guidance)'!$B$8:$B$21,0),MATCH(E$11,'Default Values (MSFT Guidance)'!$C$6:$F$6,0)),"")</f>
        <v>250</v>
      </c>
      <c r="F164" s="168">
        <f>IF(F$11&lt;&gt;"",INDEX('Default Values (MSFT Guidance)'!$C$8:$F$21,MATCH($C164,'Default Values (MSFT Guidance)'!$B$8:$B$21,0),MATCH(F$11,'Default Values (MSFT Guidance)'!$C$6:$F$6,0)),"")</f>
        <v>100</v>
      </c>
      <c r="G164" s="168">
        <f>IF(G$11&lt;&gt;"",INDEX('Default Values (MSFT Guidance)'!$C$8:$F$21,MATCH($C164,'Default Values (MSFT Guidance)'!$B$8:$B$21,0),MATCH(G$11,'Default Values (MSFT Guidance)'!$C$6:$F$6,0)),"")</f>
        <v>100</v>
      </c>
      <c r="H164" s="168" t="str">
        <f>IF(H$11&lt;&gt;"",INDEX('Default Values (MSFT Guidance)'!$C$8:$F$21,MATCH($C164,'Default Values (MSFT Guidance)'!$B$8:$B$21,0),MATCH(H$11,'Default Values (MSFT Guidance)'!$C$6:$F$6,0)),"")</f>
        <v/>
      </c>
      <c r="I164" s="41"/>
    </row>
    <row r="165" spans="2:11" ht="18.600000000000001" customHeight="1" x14ac:dyDescent="0.3">
      <c r="B165" s="30"/>
      <c r="C165" s="50" t="s">
        <v>313</v>
      </c>
      <c r="D165" s="321"/>
      <c r="E165" s="321"/>
      <c r="F165" s="321"/>
      <c r="G165" s="321"/>
      <c r="H165" s="321"/>
      <c r="I165" s="41"/>
      <c r="K165" s="154"/>
    </row>
    <row r="166" spans="2:11" ht="18.600000000000001" customHeight="1" x14ac:dyDescent="0.3">
      <c r="B166" s="30"/>
      <c r="C166" s="50" t="s">
        <v>314</v>
      </c>
      <c r="D166" s="138">
        <f>IF(D164&lt;&gt;"",IF(D165&lt;&gt;"",D165,D164),"")</f>
        <v>50</v>
      </c>
      <c r="E166" s="138">
        <f t="shared" ref="E166" si="38">IF(E164&lt;&gt;"",IF(E165&lt;&gt;"",E165,E164),"")</f>
        <v>250</v>
      </c>
      <c r="F166" s="138">
        <f t="shared" ref="F166" si="39">IF(F164&lt;&gt;"",IF(F165&lt;&gt;"",F165,F164),"")</f>
        <v>100</v>
      </c>
      <c r="G166" s="138">
        <f t="shared" ref="G166" si="40">IF(G164&lt;&gt;"",IF(G165&lt;&gt;"",G165,G164),"")</f>
        <v>100</v>
      </c>
      <c r="H166" s="138" t="str">
        <f t="shared" ref="H166" si="41">IF(H164&lt;&gt;"",IF(H165&lt;&gt;"",H165,H164),"")</f>
        <v/>
      </c>
      <c r="I166" s="41"/>
    </row>
    <row r="167" spans="2:11" ht="18.600000000000001" customHeight="1" x14ac:dyDescent="0.3">
      <c r="B167" s="30"/>
      <c r="C167" s="50" t="s">
        <v>148</v>
      </c>
      <c r="D167" s="138">
        <f>IF(D24&lt;&gt;"",D166*D24*D18*3600/1024/1024,"")</f>
        <v>35.70556640625</v>
      </c>
      <c r="E167" s="138">
        <f>IF(E24&lt;&gt;"",E166*E24*E18*3600/1024/1024,"")</f>
        <v>249.93896484375</v>
      </c>
      <c r="F167" s="138">
        <f>IF(F24&lt;&gt;"",F166*F24*F18*3600/1024/1024,"")</f>
        <v>80.3375244140625</v>
      </c>
      <c r="G167" s="138">
        <f>IF(G24&lt;&gt;"",G166*G24*G18*3600/1024/1024,"")</f>
        <v>112.4725341796875</v>
      </c>
      <c r="H167" s="138" t="str">
        <f>IF(H24&lt;&gt;"",H166*H24*H18*3600/1024/1024,"")</f>
        <v/>
      </c>
      <c r="I167" s="41"/>
    </row>
    <row r="168" spans="2:11" ht="18.600000000000001" customHeight="1" x14ac:dyDescent="0.3">
      <c r="B168" s="30"/>
      <c r="C168" s="50" t="s">
        <v>147</v>
      </c>
      <c r="D168" s="164">
        <f>IF(D12&lt;&gt;"",D12*D167,"")</f>
        <v>17852.783203125</v>
      </c>
      <c r="E168" s="164">
        <f>IF(E12&lt;&gt;"",E12*E167,"")</f>
        <v>37490.8447265625</v>
      </c>
      <c r="F168" s="164">
        <f>IF(F12&lt;&gt;"",F12*F167,"")</f>
        <v>28118.133544921875</v>
      </c>
      <c r="G168" s="164">
        <f>IF(G12&lt;&gt;"",G12*G167,"")</f>
        <v>39365.386962890625</v>
      </c>
      <c r="H168" s="164" t="str">
        <f>IF(H12&lt;&gt;"",H12*H167,"")</f>
        <v/>
      </c>
      <c r="I168" s="41"/>
      <c r="K168" s="154"/>
    </row>
    <row r="169" spans="2:11" ht="18.600000000000001" customHeight="1" x14ac:dyDescent="0.3">
      <c r="B169" s="30"/>
      <c r="C169" s="50" t="s">
        <v>355</v>
      </c>
      <c r="D169" s="350">
        <v>0.01</v>
      </c>
      <c r="E169" s="350">
        <v>0.01</v>
      </c>
      <c r="F169" s="350">
        <v>0.01</v>
      </c>
      <c r="G169" s="350">
        <v>0.01</v>
      </c>
      <c r="H169" s="350"/>
      <c r="I169" s="41"/>
      <c r="J169" s="261" t="s">
        <v>528</v>
      </c>
    </row>
    <row r="170" spans="2:11" ht="18.600000000000001" customHeight="1" x14ac:dyDescent="0.3">
      <c r="B170" s="30"/>
      <c r="C170" s="51" t="s">
        <v>356</v>
      </c>
      <c r="D170" s="178">
        <f>IF(D168&lt;&gt;"",D168*D169,"")</f>
        <v>178.52783203125</v>
      </c>
      <c r="E170" s="178">
        <f t="shared" ref="E170:H170" si="42">IF(E168&lt;&gt;"",E168*E169,"")</f>
        <v>374.908447265625</v>
      </c>
      <c r="F170" s="178">
        <f t="shared" si="42"/>
        <v>281.18133544921875</v>
      </c>
      <c r="G170" s="178">
        <f t="shared" si="42"/>
        <v>393.65386962890625</v>
      </c>
      <c r="H170" s="178" t="str">
        <f t="shared" si="42"/>
        <v/>
      </c>
      <c r="I170" s="41"/>
    </row>
    <row r="171" spans="2:11" ht="18.600000000000001" customHeight="1" x14ac:dyDescent="0.3">
      <c r="B171" s="30"/>
      <c r="C171" s="41"/>
      <c r="D171" s="38"/>
      <c r="E171" s="38"/>
      <c r="F171" s="38"/>
      <c r="G171" s="38"/>
      <c r="H171" s="38"/>
      <c r="I171" s="41"/>
    </row>
    <row r="172" spans="2:11" ht="18.600000000000001" customHeight="1" x14ac:dyDescent="0.3">
      <c r="B172" s="122"/>
      <c r="C172" s="157"/>
      <c r="D172" s="250"/>
      <c r="E172" s="250"/>
      <c r="F172" s="250"/>
      <c r="G172" s="250"/>
      <c r="H172" s="250"/>
      <c r="I172" s="157"/>
    </row>
    <row r="173" spans="2:11" ht="18.600000000000001" customHeight="1" x14ac:dyDescent="0.3">
      <c r="B173" s="30"/>
      <c r="C173" s="270" t="s">
        <v>123</v>
      </c>
      <c r="D173" s="38"/>
      <c r="E173" s="38"/>
      <c r="F173" s="38"/>
      <c r="G173" s="38"/>
      <c r="H173" s="38"/>
      <c r="I173" s="41"/>
    </row>
    <row r="174" spans="2:11" ht="18.600000000000001" customHeight="1" x14ac:dyDescent="0.3">
      <c r="B174" s="30"/>
      <c r="C174" s="41"/>
      <c r="D174" s="38"/>
      <c r="E174" s="38"/>
      <c r="F174" s="38"/>
      <c r="G174" s="38"/>
      <c r="H174" s="38"/>
      <c r="I174" s="41"/>
    </row>
    <row r="175" spans="2:11" ht="18.600000000000001" customHeight="1" x14ac:dyDescent="0.3">
      <c r="B175" s="30"/>
      <c r="C175" s="186" t="s">
        <v>357</v>
      </c>
      <c r="D175" s="159"/>
      <c r="E175" s="38"/>
      <c r="F175" s="38"/>
      <c r="G175" s="38"/>
      <c r="H175" s="38"/>
      <c r="I175" s="41"/>
      <c r="K175" s="155"/>
    </row>
    <row r="176" spans="2:11" ht="18.600000000000001" customHeight="1" x14ac:dyDescent="0.3">
      <c r="B176" s="30"/>
      <c r="C176" s="50" t="s">
        <v>102</v>
      </c>
      <c r="D176" s="351">
        <v>0</v>
      </c>
      <c r="E176" s="351">
        <v>0</v>
      </c>
      <c r="F176" s="351">
        <v>0</v>
      </c>
      <c r="G176" s="351">
        <v>0</v>
      </c>
      <c r="H176" s="351"/>
      <c r="I176" s="41"/>
    </row>
    <row r="177" spans="2:11" ht="18.600000000000001" customHeight="1" x14ac:dyDescent="0.3">
      <c r="B177" s="30"/>
      <c r="C177" s="50" t="s">
        <v>103</v>
      </c>
      <c r="D177" s="351">
        <v>0</v>
      </c>
      <c r="E177" s="351">
        <v>0</v>
      </c>
      <c r="F177" s="351">
        <v>0</v>
      </c>
      <c r="G177" s="351">
        <v>0</v>
      </c>
      <c r="H177" s="351"/>
      <c r="I177" s="41"/>
    </row>
    <row r="178" spans="2:11" ht="18.600000000000001" customHeight="1" x14ac:dyDescent="0.3">
      <c r="B178" s="30"/>
      <c r="C178" s="50" t="s">
        <v>104</v>
      </c>
      <c r="D178" s="351">
        <v>0</v>
      </c>
      <c r="E178" s="351">
        <v>0</v>
      </c>
      <c r="F178" s="351">
        <v>0</v>
      </c>
      <c r="G178" s="351">
        <v>0</v>
      </c>
      <c r="H178" s="351"/>
      <c r="I178" s="41"/>
    </row>
    <row r="179" spans="2:11" ht="18.600000000000001" customHeight="1" x14ac:dyDescent="0.3">
      <c r="B179" s="30"/>
      <c r="C179" s="50" t="s">
        <v>105</v>
      </c>
      <c r="D179" s="351">
        <v>0</v>
      </c>
      <c r="E179" s="351">
        <v>0</v>
      </c>
      <c r="F179" s="351">
        <v>0</v>
      </c>
      <c r="G179" s="351">
        <v>0</v>
      </c>
      <c r="H179" s="351"/>
      <c r="I179" s="41"/>
    </row>
    <row r="180" spans="2:11" ht="18.600000000000001" customHeight="1" x14ac:dyDescent="0.3">
      <c r="B180" s="30"/>
      <c r="C180" s="50" t="s">
        <v>159</v>
      </c>
      <c r="D180" s="351">
        <v>0</v>
      </c>
      <c r="E180" s="351">
        <v>0</v>
      </c>
      <c r="F180" s="351">
        <v>0</v>
      </c>
      <c r="G180" s="351">
        <v>0</v>
      </c>
      <c r="H180" s="351"/>
      <c r="I180" s="41"/>
    </row>
    <row r="181" spans="2:11" ht="18.600000000000001" customHeight="1" x14ac:dyDescent="0.3">
      <c r="B181" s="30"/>
      <c r="C181" s="50" t="s">
        <v>194</v>
      </c>
      <c r="D181" s="351">
        <v>0</v>
      </c>
      <c r="E181" s="351">
        <v>0</v>
      </c>
      <c r="F181" s="351">
        <v>0</v>
      </c>
      <c r="G181" s="351">
        <v>0</v>
      </c>
      <c r="H181" s="351"/>
      <c r="I181" s="41"/>
      <c r="K181" s="37"/>
    </row>
    <row r="182" spans="2:11" ht="18.600000000000001" customHeight="1" x14ac:dyDescent="0.3">
      <c r="B182" s="30"/>
      <c r="C182" s="63" t="s">
        <v>122</v>
      </c>
      <c r="D182" s="351">
        <v>0</v>
      </c>
      <c r="E182" s="351">
        <v>0</v>
      </c>
      <c r="F182" s="351">
        <v>0</v>
      </c>
      <c r="G182" s="351">
        <v>0</v>
      </c>
      <c r="H182" s="351"/>
      <c r="I182" s="41"/>
      <c r="K182" s="37"/>
    </row>
    <row r="183" spans="2:11" ht="18.600000000000001" customHeight="1" x14ac:dyDescent="0.3">
      <c r="B183" s="30"/>
      <c r="C183" s="79" t="s">
        <v>358</v>
      </c>
      <c r="D183" s="187">
        <f>SUM(D176:D182)</f>
        <v>0</v>
      </c>
      <c r="E183" s="187">
        <f>SUM(E176:E182)</f>
        <v>0</v>
      </c>
      <c r="F183" s="187">
        <f>SUM(F176:F182)</f>
        <v>0</v>
      </c>
      <c r="G183" s="187">
        <f>SUM(G176:G182)</f>
        <v>0</v>
      </c>
      <c r="H183" s="187">
        <f>SUM(H176:H182)</f>
        <v>0</v>
      </c>
      <c r="I183" s="41"/>
    </row>
    <row r="184" spans="2:11" ht="18.600000000000001" customHeight="1" x14ac:dyDescent="0.3">
      <c r="B184" s="30"/>
      <c r="C184" s="30"/>
      <c r="D184" s="30"/>
      <c r="E184" s="30"/>
      <c r="F184" s="30"/>
      <c r="G184" s="30"/>
      <c r="H184" s="30"/>
      <c r="I184" s="30"/>
      <c r="K184" s="192"/>
    </row>
    <row r="185" spans="2:11" ht="18.600000000000001" customHeight="1" x14ac:dyDescent="0.3">
      <c r="B185" s="122"/>
      <c r="C185" s="273"/>
      <c r="D185" s="274"/>
      <c r="E185" s="274"/>
      <c r="F185" s="274"/>
      <c r="G185" s="274"/>
      <c r="H185" s="274"/>
      <c r="I185" s="157"/>
    </row>
    <row r="186" spans="2:11" ht="18.600000000000001" customHeight="1" x14ac:dyDescent="0.3">
      <c r="B186" s="30"/>
      <c r="C186" s="270" t="s">
        <v>450</v>
      </c>
      <c r="D186" s="38"/>
      <c r="E186" s="38"/>
      <c r="F186" s="38"/>
      <c r="G186" s="38"/>
      <c r="H186" s="38"/>
      <c r="I186" s="41"/>
      <c r="K186" s="192" t="s">
        <v>407</v>
      </c>
    </row>
    <row r="187" spans="2:11" ht="18.600000000000001" customHeight="1" x14ac:dyDescent="0.3">
      <c r="B187" s="30"/>
      <c r="C187" s="41"/>
      <c r="D187" s="38"/>
      <c r="E187" s="38"/>
      <c r="F187" s="38"/>
      <c r="G187" s="38"/>
      <c r="H187" s="38"/>
      <c r="I187" s="41"/>
      <c r="K187" s="193">
        <f>SUM(D12:H12)</f>
        <v>1350</v>
      </c>
    </row>
    <row r="188" spans="2:11" ht="18.600000000000001" customHeight="1" x14ac:dyDescent="0.3">
      <c r="B188" s="30"/>
      <c r="C188" s="186" t="s">
        <v>359</v>
      </c>
      <c r="D188" s="38"/>
      <c r="E188" s="38"/>
      <c r="F188" s="38"/>
      <c r="G188" s="38"/>
      <c r="H188" s="38"/>
      <c r="I188" s="41"/>
      <c r="K188" s="37" t="s">
        <v>406</v>
      </c>
    </row>
    <row r="189" spans="2:11" ht="18.600000000000001" customHeight="1" x14ac:dyDescent="0.3">
      <c r="B189" s="30"/>
      <c r="C189" s="78" t="s">
        <v>446</v>
      </c>
      <c r="D189" s="188" t="e">
        <f ca="1">IF(D85&lt;&gt;"",D85,0)</f>
        <v>#NAME?</v>
      </c>
      <c r="E189" s="188" t="e">
        <f ca="1">IF(E85&lt;&gt;"",E85,0)</f>
        <v>#NAME?</v>
      </c>
      <c r="F189" s="188" t="e">
        <f ca="1">IF(F85&lt;&gt;"",F85,0)</f>
        <v>#NAME?</v>
      </c>
      <c r="G189" s="188" t="e">
        <f ca="1">IF(G85&lt;&gt;"",G85,0)</f>
        <v>#NAME?</v>
      </c>
      <c r="H189" s="188">
        <f>IF(H85&lt;&gt;"",H85,0)</f>
        <v>0</v>
      </c>
      <c r="I189" s="41"/>
      <c r="K189" s="188" t="e">
        <f ca="1">SUM(D189:H189)</f>
        <v>#NAME?</v>
      </c>
    </row>
    <row r="190" spans="2:11" ht="18" customHeight="1" x14ac:dyDescent="0.3">
      <c r="B190" s="30"/>
      <c r="C190" s="78" t="s">
        <v>3</v>
      </c>
      <c r="D190" s="188" t="e">
        <f ca="1">IF(D98&lt;&gt;"",IF(D98=Reference!$AF$4,D108,D155),0)</f>
        <v>#NAME?</v>
      </c>
      <c r="E190" s="188">
        <f>IF(E98&lt;&gt;"",IF(E98=Reference!$AF$4,E108,E155),0)</f>
        <v>442.38</v>
      </c>
      <c r="F190" s="188">
        <f>IF(F98&lt;&gt;"",IF(F98=Reference!$AF$4,F108,F155),0)</f>
        <v>1032.22</v>
      </c>
      <c r="G190" s="188">
        <f>IF(G98&lt;&gt;"",IF(G98=Reference!$AF$4,G108,G155),0)</f>
        <v>1032.22</v>
      </c>
      <c r="H190" s="188">
        <f>IF(H98&lt;&gt;"",IF(H98=Reference!$AF$4,H108,H155),0)</f>
        <v>0</v>
      </c>
      <c r="I190" s="41"/>
      <c r="K190" s="188" t="e">
        <f t="shared" ref="K190:K192" ca="1" si="43">SUM(D190:H190)</f>
        <v>#NAME?</v>
      </c>
    </row>
    <row r="191" spans="2:11" ht="20.25" x14ac:dyDescent="0.3">
      <c r="B191" s="30"/>
      <c r="C191" s="78" t="s">
        <v>225</v>
      </c>
      <c r="D191" s="178">
        <f>IF(D170&lt;&gt;"",D170,0)</f>
        <v>178.52783203125</v>
      </c>
      <c r="E191" s="178">
        <f>IF(E170&lt;&gt;"",E170,0)</f>
        <v>374.908447265625</v>
      </c>
      <c r="F191" s="178">
        <f>IF(F170&lt;&gt;"",F170,0)</f>
        <v>281.18133544921875</v>
      </c>
      <c r="G191" s="178">
        <f>IF(G170&lt;&gt;"",G170,0)</f>
        <v>393.65386962890625</v>
      </c>
      <c r="H191" s="178">
        <f>IF(H170&lt;&gt;"",H170,0)</f>
        <v>0</v>
      </c>
      <c r="I191" s="41"/>
      <c r="K191" s="189">
        <f t="shared" si="43"/>
        <v>1228.271484375</v>
      </c>
    </row>
    <row r="192" spans="2:11" ht="20.25" x14ac:dyDescent="0.3">
      <c r="B192" s="30"/>
      <c r="C192" s="78" t="s">
        <v>123</v>
      </c>
      <c r="D192" s="190">
        <f t="shared" ref="D192:E192" si="44">IF(D183&lt;&gt;"",D183,0)</f>
        <v>0</v>
      </c>
      <c r="E192" s="190">
        <f t="shared" si="44"/>
        <v>0</v>
      </c>
      <c r="F192" s="190">
        <f>IF(F183&lt;&gt;"",F183,0)</f>
        <v>0</v>
      </c>
      <c r="G192" s="190">
        <f t="shared" ref="G192:H192" si="45">IF(G183&lt;&gt;"",G183,0)</f>
        <v>0</v>
      </c>
      <c r="H192" s="190">
        <f t="shared" si="45"/>
        <v>0</v>
      </c>
      <c r="I192" s="41"/>
      <c r="K192" s="188">
        <f t="shared" si="43"/>
        <v>0</v>
      </c>
    </row>
    <row r="193" spans="2:11" ht="20.25" x14ac:dyDescent="0.3">
      <c r="B193" s="30"/>
      <c r="C193" s="79" t="s">
        <v>315</v>
      </c>
      <c r="D193" s="352">
        <v>0.15</v>
      </c>
      <c r="E193" s="352">
        <v>0.15</v>
      </c>
      <c r="F193" s="352">
        <v>0.15</v>
      </c>
      <c r="G193" s="352">
        <v>0.15</v>
      </c>
      <c r="H193" s="352"/>
      <c r="I193" s="41"/>
      <c r="K193" s="191">
        <f>D193</f>
        <v>0.15</v>
      </c>
    </row>
    <row r="194" spans="2:11" ht="20.25" x14ac:dyDescent="0.3">
      <c r="B194" s="30"/>
      <c r="C194" s="79" t="s">
        <v>360</v>
      </c>
      <c r="D194" s="178" t="e">
        <f ca="1">IF(D193&lt;&gt;"",SUM(D189:D192)*(1-D193),0)</f>
        <v>#NAME?</v>
      </c>
      <c r="E194" s="178" t="e">
        <f t="shared" ref="E194:H194" ca="1" si="46">IF(E193&lt;&gt;"",SUM(E189:E192)*(1-E193),0)</f>
        <v>#NAME?</v>
      </c>
      <c r="F194" s="178" t="e">
        <f t="shared" ca="1" si="46"/>
        <v>#NAME?</v>
      </c>
      <c r="G194" s="178" t="e">
        <f t="shared" ca="1" si="46"/>
        <v>#NAME?</v>
      </c>
      <c r="H194" s="178">
        <f t="shared" si="46"/>
        <v>0</v>
      </c>
      <c r="I194" s="41"/>
      <c r="K194" s="190" t="e">
        <f ca="1">SUM(D194:H194)</f>
        <v>#NAME?</v>
      </c>
    </row>
    <row r="195" spans="2:11" ht="20.25" x14ac:dyDescent="0.3">
      <c r="B195" s="30"/>
      <c r="C195" s="79" t="s">
        <v>361</v>
      </c>
      <c r="D195" s="178" t="e">
        <f ca="1">IF(D12&lt;&gt;"",D194/D12,0)</f>
        <v>#NAME?</v>
      </c>
      <c r="E195" s="178" t="e">
        <f ca="1">IF(E12&lt;&gt;"",E194/E12,0)</f>
        <v>#NAME?</v>
      </c>
      <c r="F195" s="178" t="e">
        <f ca="1">IF(F12&lt;&gt;"",F194/F12,0)</f>
        <v>#NAME?</v>
      </c>
      <c r="G195" s="178" t="e">
        <f ca="1">IF(G12&lt;&gt;"",G194/G12,0)</f>
        <v>#NAME?</v>
      </c>
      <c r="H195" s="178">
        <f>IF(H12&lt;&gt;"",H194/H12,0)</f>
        <v>0</v>
      </c>
      <c r="I195" s="41"/>
      <c r="K195" s="188" t="e">
        <f ca="1">K194/SUM(D12:H12)</f>
        <v>#NAME?</v>
      </c>
    </row>
    <row r="196" spans="2:11" ht="20.25" x14ac:dyDescent="0.3">
      <c r="B196" s="30"/>
      <c r="C196" s="41"/>
      <c r="D196" s="38"/>
      <c r="E196" s="38"/>
      <c r="F196" s="38"/>
      <c r="G196" s="38"/>
      <c r="H196" s="38"/>
      <c r="I196" s="41"/>
    </row>
    <row r="197" spans="2:11" ht="20.25" x14ac:dyDescent="0.3">
      <c r="B197" s="30"/>
      <c r="C197" s="186" t="s">
        <v>362</v>
      </c>
      <c r="D197" s="38"/>
      <c r="E197" s="38"/>
      <c r="F197" s="38"/>
      <c r="G197" s="38"/>
      <c r="H197" s="38"/>
      <c r="I197" s="41"/>
    </row>
    <row r="198" spans="2:11" ht="20.25" x14ac:dyDescent="0.3">
      <c r="B198" s="30"/>
      <c r="C198" s="78" t="s">
        <v>446</v>
      </c>
      <c r="D198" s="188">
        <f>IF('1. Opportunity Profile'!D$64&gt;0,SUM('1. Opportunity Profile'!D58)/'1. Opportunity Profile'!D$64/12,0)</f>
        <v>0</v>
      </c>
      <c r="E198" s="188">
        <f>IF('1. Opportunity Profile'!E$64&gt;0,SUM('1. Opportunity Profile'!E58)/'1. Opportunity Profile'!E$64/12,0)</f>
        <v>0</v>
      </c>
      <c r="F198" s="188">
        <f>IF('1. Opportunity Profile'!F$64&gt;0,SUM('1. Opportunity Profile'!F58)/'1. Opportunity Profile'!F$64/12,0)</f>
        <v>0</v>
      </c>
      <c r="G198" s="188">
        <f>IF('1. Opportunity Profile'!G$64&gt;0,SUM('1. Opportunity Profile'!G58)/'1. Opportunity Profile'!G$64/12,0)</f>
        <v>0</v>
      </c>
      <c r="H198" s="188">
        <f>IF('1. Opportunity Profile'!H$64&gt;0,SUM('1. Opportunity Profile'!H58)/'1. Opportunity Profile'!H$64/12,0)</f>
        <v>0</v>
      </c>
      <c r="I198" s="41"/>
    </row>
    <row r="199" spans="2:11" ht="20.25" x14ac:dyDescent="0.3">
      <c r="B199" s="30"/>
      <c r="C199" s="78" t="s">
        <v>3</v>
      </c>
      <c r="D199" s="188">
        <f>IF('1. Opportunity Profile'!D$64&gt;0,SUM('1. Opportunity Profile'!D59)/'1. Opportunity Profile'!D$64/12,0)</f>
        <v>0</v>
      </c>
      <c r="E199" s="188">
        <f>IF('1. Opportunity Profile'!E$64&gt;0,SUM('1. Opportunity Profile'!E59)/'1. Opportunity Profile'!E$64/12,0)</f>
        <v>0</v>
      </c>
      <c r="F199" s="188">
        <f>IF('1. Opportunity Profile'!F$64&gt;0,SUM('1. Opportunity Profile'!F59)/'1. Opportunity Profile'!F$64/12,0)</f>
        <v>0</v>
      </c>
      <c r="G199" s="188">
        <f>IF('1. Opportunity Profile'!G$64&gt;0,SUM('1. Opportunity Profile'!G59)/'1. Opportunity Profile'!G$64/12,0)</f>
        <v>0</v>
      </c>
      <c r="H199" s="188">
        <f>IF('1. Opportunity Profile'!H$64&gt;0,SUM('1. Opportunity Profile'!H59)/'1. Opportunity Profile'!H$64/12,0)</f>
        <v>0</v>
      </c>
      <c r="I199" s="41"/>
      <c r="K199" s="297"/>
    </row>
    <row r="200" spans="2:11" ht="20.25" x14ac:dyDescent="0.3">
      <c r="B200" s="30"/>
      <c r="C200" s="78" t="s">
        <v>225</v>
      </c>
      <c r="D200" s="188">
        <f>IF('1. Opportunity Profile'!D$64&gt;0,SUM('1. Opportunity Profile'!D60)/'1. Opportunity Profile'!D$64/12,0)</f>
        <v>0</v>
      </c>
      <c r="E200" s="188">
        <f>IF('1. Opportunity Profile'!E$64&gt;0,SUM('1. Opportunity Profile'!E60)/'1. Opportunity Profile'!E$64/12,0)</f>
        <v>0</v>
      </c>
      <c r="F200" s="188">
        <f>IF('1. Opportunity Profile'!F$64&gt;0,SUM('1. Opportunity Profile'!F60)/'1. Opportunity Profile'!F$64/12,0)</f>
        <v>0</v>
      </c>
      <c r="G200" s="188">
        <f>IF('1. Opportunity Profile'!G$64&gt;0,SUM('1. Opportunity Profile'!G60)/'1. Opportunity Profile'!G$64/12,0)</f>
        <v>0</v>
      </c>
      <c r="H200" s="188">
        <f>IF('1. Opportunity Profile'!H$64&gt;0,SUM('1. Opportunity Profile'!H60)/'1. Opportunity Profile'!H$64/12,0)</f>
        <v>0</v>
      </c>
      <c r="I200" s="41"/>
    </row>
    <row r="201" spans="2:11" ht="20.25" x14ac:dyDescent="0.3">
      <c r="B201" s="30"/>
      <c r="C201" s="78" t="s">
        <v>123</v>
      </c>
      <c r="D201" s="188">
        <f>IF('1. Opportunity Profile'!D$64&gt;0,SUM('1. Opportunity Profile'!D61)/'1. Opportunity Profile'!D$64/12,0)</f>
        <v>0</v>
      </c>
      <c r="E201" s="188">
        <f>IF('1. Opportunity Profile'!E$64&gt;0,SUM('1. Opportunity Profile'!E61)/'1. Opportunity Profile'!E$64/12,0)</f>
        <v>0</v>
      </c>
      <c r="F201" s="188">
        <f>IF('1. Opportunity Profile'!F$64&gt;0,SUM('1. Opportunity Profile'!F61)/'1. Opportunity Profile'!F$64/12,0)</f>
        <v>0</v>
      </c>
      <c r="G201" s="188">
        <f>IF('1. Opportunity Profile'!G$64&gt;0,SUM('1. Opportunity Profile'!G61)/'1. Opportunity Profile'!G$64/12,0)</f>
        <v>0</v>
      </c>
      <c r="H201" s="188">
        <f>IF('1. Opportunity Profile'!H$64&gt;0,SUM('1. Opportunity Profile'!H61)/'1. Opportunity Profile'!H$64/12,0)</f>
        <v>0</v>
      </c>
      <c r="I201" s="41"/>
    </row>
    <row r="202" spans="2:11" ht="20.25" x14ac:dyDescent="0.3">
      <c r="B202" s="30"/>
      <c r="C202" s="78" t="s">
        <v>545</v>
      </c>
      <c r="D202" s="188">
        <f>IF('1. Opportunity Profile'!D$64&gt;0,SUM('1. Opportunity Profile'!D62)/'1. Opportunity Profile'!D$64/12,0)</f>
        <v>0</v>
      </c>
      <c r="E202" s="188">
        <f>IF('1. Opportunity Profile'!E$64&gt;0,SUM('1. Opportunity Profile'!E62)/'1. Opportunity Profile'!E$64/12,0)</f>
        <v>0</v>
      </c>
      <c r="F202" s="188">
        <f>IF('1. Opportunity Profile'!F$64&gt;0,SUM('1. Opportunity Profile'!F62)/'1. Opportunity Profile'!F$64/12,0)</f>
        <v>0</v>
      </c>
      <c r="G202" s="188">
        <f>IF('1. Opportunity Profile'!G$64&gt;0,SUM('1. Opportunity Profile'!G62)/'1. Opportunity Profile'!G$64/12,0)</f>
        <v>0</v>
      </c>
      <c r="H202" s="188">
        <f>IF('1. Opportunity Profile'!H$64&gt;0,SUM('1. Opportunity Profile'!H62)/'1. Opportunity Profile'!H$64/12,0)</f>
        <v>0</v>
      </c>
      <c r="I202" s="41"/>
    </row>
    <row r="203" spans="2:11" ht="20.25" x14ac:dyDescent="0.3">
      <c r="B203" s="30"/>
      <c r="C203" s="79" t="s">
        <v>360</v>
      </c>
      <c r="D203" s="188">
        <f>SUM(D198:D202)</f>
        <v>0</v>
      </c>
      <c r="E203" s="188">
        <f t="shared" ref="E203:H203" si="47">SUM(E198:E202)</f>
        <v>0</v>
      </c>
      <c r="F203" s="188">
        <f t="shared" si="47"/>
        <v>0</v>
      </c>
      <c r="G203" s="188">
        <f t="shared" si="47"/>
        <v>0</v>
      </c>
      <c r="H203" s="188">
        <f t="shared" si="47"/>
        <v>0</v>
      </c>
      <c r="I203" s="41"/>
    </row>
    <row r="204" spans="2:11" ht="20.25" x14ac:dyDescent="0.3">
      <c r="B204" s="30"/>
      <c r="C204" s="79" t="s">
        <v>361</v>
      </c>
      <c r="D204" s="188">
        <f>IF(D12&lt;&gt;"",D203/D12,0)</f>
        <v>0</v>
      </c>
      <c r="E204" s="188">
        <f>IF(E12&lt;&gt;"",E203/E12,0)</f>
        <v>0</v>
      </c>
      <c r="F204" s="188">
        <f>IF(F12&lt;&gt;"",F203/F12,0)</f>
        <v>0</v>
      </c>
      <c r="G204" s="188">
        <f>IF(G12&lt;&gt;"",G203/G12,0)</f>
        <v>0</v>
      </c>
      <c r="H204" s="188">
        <f>IF(H12&lt;&gt;"",H203/H12,0)</f>
        <v>0</v>
      </c>
      <c r="I204" s="41"/>
    </row>
    <row r="205" spans="2:11" ht="20.25" x14ac:dyDescent="0.3">
      <c r="B205" s="30"/>
      <c r="C205" s="30"/>
      <c r="D205" s="158"/>
      <c r="E205" s="158"/>
      <c r="F205" s="158"/>
      <c r="G205" s="158"/>
      <c r="H205" s="158"/>
      <c r="I205" s="41"/>
    </row>
    <row r="206" spans="2:11" ht="20.25" x14ac:dyDescent="0.3">
      <c r="B206" s="30"/>
      <c r="C206" s="186" t="s">
        <v>401</v>
      </c>
      <c r="D206" s="158"/>
      <c r="E206" s="158"/>
      <c r="F206" s="158"/>
      <c r="G206" s="158"/>
      <c r="H206" s="158"/>
      <c r="I206" s="41"/>
    </row>
    <row r="207" spans="2:11" ht="20.25" x14ac:dyDescent="0.3">
      <c r="B207" s="30"/>
      <c r="C207" s="78" t="s">
        <v>446</v>
      </c>
      <c r="D207" s="190" t="e">
        <f ca="1">D198-D189*(1-D$193)</f>
        <v>#NAME?</v>
      </c>
      <c r="E207" s="190" t="e">
        <f t="shared" ref="E207:H207" ca="1" si="48">E198-E189*(1-E$193)</f>
        <v>#NAME?</v>
      </c>
      <c r="F207" s="190" t="e">
        <f t="shared" ca="1" si="48"/>
        <v>#NAME?</v>
      </c>
      <c r="G207" s="190" t="e">
        <f t="shared" ca="1" si="48"/>
        <v>#NAME?</v>
      </c>
      <c r="H207" s="190">
        <f t="shared" si="48"/>
        <v>0</v>
      </c>
      <c r="I207" s="41"/>
    </row>
    <row r="208" spans="2:11" ht="20.25" x14ac:dyDescent="0.3">
      <c r="B208" s="30"/>
      <c r="C208" s="78" t="s">
        <v>3</v>
      </c>
      <c r="D208" s="190" t="e">
        <f t="shared" ref="D208:H208" ca="1" si="49">D199-D190*(1-D$193)</f>
        <v>#NAME?</v>
      </c>
      <c r="E208" s="190">
        <f t="shared" si="49"/>
        <v>-376.02299999999997</v>
      </c>
      <c r="F208" s="190">
        <f t="shared" si="49"/>
        <v>-877.38699999999994</v>
      </c>
      <c r="G208" s="190">
        <f t="shared" si="49"/>
        <v>-877.38699999999994</v>
      </c>
      <c r="H208" s="190">
        <f t="shared" si="49"/>
        <v>0</v>
      </c>
      <c r="I208" s="41"/>
    </row>
    <row r="209" spans="2:9" ht="20.25" x14ac:dyDescent="0.3">
      <c r="B209" s="30"/>
      <c r="C209" s="78" t="s">
        <v>225</v>
      </c>
      <c r="D209" s="190">
        <f t="shared" ref="D209:H209" si="50">D200-D191*(1-D$193)</f>
        <v>-151.7486572265625</v>
      </c>
      <c r="E209" s="190">
        <f t="shared" si="50"/>
        <v>-318.67218017578125</v>
      </c>
      <c r="F209" s="190">
        <f t="shared" si="50"/>
        <v>-239.00413513183594</v>
      </c>
      <c r="G209" s="190">
        <f t="shared" si="50"/>
        <v>-334.60578918457031</v>
      </c>
      <c r="H209" s="190">
        <f t="shared" si="50"/>
        <v>0</v>
      </c>
      <c r="I209" s="41"/>
    </row>
    <row r="210" spans="2:9" ht="20.25" x14ac:dyDescent="0.3">
      <c r="B210" s="30"/>
      <c r="C210" s="78" t="s">
        <v>123</v>
      </c>
      <c r="D210" s="190">
        <f t="shared" ref="D210:H210" si="51">D201-D192*(1-D$193)</f>
        <v>0</v>
      </c>
      <c r="E210" s="190">
        <f t="shared" si="51"/>
        <v>0</v>
      </c>
      <c r="F210" s="190">
        <f t="shared" si="51"/>
        <v>0</v>
      </c>
      <c r="G210" s="190">
        <f t="shared" si="51"/>
        <v>0</v>
      </c>
      <c r="H210" s="190">
        <f t="shared" si="51"/>
        <v>0</v>
      </c>
      <c r="I210" s="41"/>
    </row>
    <row r="211" spans="2:9" ht="20.25" x14ac:dyDescent="0.3">
      <c r="B211" s="30"/>
      <c r="C211" s="78" t="s">
        <v>545</v>
      </c>
      <c r="D211" s="190">
        <f>D202-0</f>
        <v>0</v>
      </c>
      <c r="E211" s="190">
        <f t="shared" ref="E211:H211" si="52">E202-0</f>
        <v>0</v>
      </c>
      <c r="F211" s="190">
        <f t="shared" si="52"/>
        <v>0</v>
      </c>
      <c r="G211" s="190">
        <f t="shared" si="52"/>
        <v>0</v>
      </c>
      <c r="H211" s="190">
        <f t="shared" si="52"/>
        <v>0</v>
      </c>
      <c r="I211" s="41"/>
    </row>
    <row r="212" spans="2:9" ht="20.25" x14ac:dyDescent="0.3">
      <c r="B212" s="30"/>
      <c r="C212" s="79" t="s">
        <v>363</v>
      </c>
      <c r="D212" s="190" t="e">
        <f t="shared" ref="D212:H213" ca="1" si="53">D203-D194</f>
        <v>#NAME?</v>
      </c>
      <c r="E212" s="190" t="e">
        <f t="shared" ca="1" si="53"/>
        <v>#NAME?</v>
      </c>
      <c r="F212" s="190" t="e">
        <f t="shared" ca="1" si="53"/>
        <v>#NAME?</v>
      </c>
      <c r="G212" s="190" t="e">
        <f t="shared" ca="1" si="53"/>
        <v>#NAME?</v>
      </c>
      <c r="H212" s="190">
        <f t="shared" si="53"/>
        <v>0</v>
      </c>
      <c r="I212" s="41"/>
    </row>
    <row r="213" spans="2:9" ht="20.25" x14ac:dyDescent="0.3">
      <c r="B213" s="30"/>
      <c r="C213" s="79" t="s">
        <v>364</v>
      </c>
      <c r="D213" s="190" t="e">
        <f t="shared" ca="1" si="53"/>
        <v>#NAME?</v>
      </c>
      <c r="E213" s="190" t="e">
        <f t="shared" ca="1" si="53"/>
        <v>#NAME?</v>
      </c>
      <c r="F213" s="190" t="e">
        <f t="shared" ca="1" si="53"/>
        <v>#NAME?</v>
      </c>
      <c r="G213" s="190" t="e">
        <f t="shared" ca="1" si="53"/>
        <v>#NAME?</v>
      </c>
      <c r="H213" s="190">
        <f t="shared" si="53"/>
        <v>0</v>
      </c>
      <c r="I213" s="41"/>
    </row>
    <row r="214" spans="2:9" ht="20.25" x14ac:dyDescent="0.3">
      <c r="B214" s="30"/>
      <c r="C214" s="30"/>
      <c r="D214" s="30"/>
      <c r="E214" s="30"/>
      <c r="F214" s="30"/>
      <c r="G214" s="30"/>
      <c r="H214" s="30"/>
      <c r="I214" s="41"/>
    </row>
    <row r="215" spans="2:9" x14ac:dyDescent="0.3">
      <c r="C215" s="143" t="str">
        <f>"Infrastructure Cost Analysis ("&amp;Currency&amp;" Cost / Month)"</f>
        <v>Infrastructure Cost Analysis (USD Cost / Month)</v>
      </c>
      <c r="F215" s="143" t="str">
        <f>"Infrastructure Cost Analysis ("&amp;Currency&amp;" Cost / User / Month)"</f>
        <v>Infrastructure Cost Analysis (USD Cost / User / Month)</v>
      </c>
    </row>
    <row r="216" spans="2:9" x14ac:dyDescent="0.3">
      <c r="C216" s="154"/>
    </row>
  </sheetData>
  <sheetProtection sheet="1" formatCells="0" formatColumns="0" formatRows="0"/>
  <mergeCells count="2">
    <mergeCell ref="B1:I1"/>
    <mergeCell ref="B2:I2"/>
  </mergeCells>
  <conditionalFormatting sqref="D112:H124 D138:H138 D155:H155 D101:H108 D141:H153 D127:H130 D132:H135">
    <cfRule type="expression" dxfId="95" priority="1">
      <formula>D$98=""</formula>
    </cfRule>
  </conditionalFormatting>
  <conditionalFormatting sqref="D139:H140">
    <cfRule type="expression" dxfId="94" priority="7">
      <formula>D$98=""</formula>
    </cfRule>
  </conditionalFormatting>
  <conditionalFormatting sqref="D131:H131">
    <cfRule type="expression" dxfId="93" priority="2">
      <formula>D$98=""</formula>
    </cfRule>
  </conditionalFormatting>
  <dataValidations count="1">
    <dataValidation type="whole" operator="greaterThanOrEqual" allowBlank="1" showInputMessage="1" showErrorMessage="1" error="Please enter the number (whole number) of total File Server VMs that is equal or bigger than minimal required " sqref="D131:H131" xr:uid="{78E6DB69-FBEA-44E2-8691-D84D8C51EC2C}">
      <formula1>D$125</formula1>
    </dataValidation>
  </dataValidations>
  <pageMargins left="0.7" right="0.7" top="0.75" bottom="0.75" header="0.3" footer="0.3"/>
  <pageSetup scale="35"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0" id="{00000000-000E-0000-0700-000011000000}">
            <xm:f>AND(OR(D132=Reference!$L$4,D132=Reference!$L$5),D132&lt;&gt;"")</xm:f>
            <x14:dxf>
              <font>
                <color theme="1" tint="0.499984740745262"/>
              </font>
              <fill>
                <patternFill>
                  <bgColor theme="1" tint="0.499984740745262"/>
                </patternFill>
              </fill>
            </x14:dxf>
          </x14:cfRule>
          <xm:sqref>D133:H133</xm:sqref>
        </x14:conditionalFormatting>
        <x14:conditionalFormatting xmlns:xm="http://schemas.microsoft.com/office/excel/2006/main">
          <x14:cfRule type="expression" priority="95" id="{EB8AFAA0-6B2A-47B6-93A8-90607C58D4F4}">
            <xm:f>D$29=Reference!$I$4</xm:f>
            <x14:dxf>
              <font>
                <color theme="1" tint="0.499984740745262"/>
              </font>
              <fill>
                <patternFill>
                  <bgColor theme="1" tint="0.499984740745262"/>
                </patternFill>
              </fill>
            </x14:dxf>
          </x14:cfRule>
          <xm:sqref>D31:H33</xm:sqref>
        </x14:conditionalFormatting>
        <x14:conditionalFormatting xmlns:xm="http://schemas.microsoft.com/office/excel/2006/main">
          <x14:cfRule type="expression" priority="81" id="{23E2E1AA-773B-45CB-9487-79491D02C1C2}">
            <xm:f>Currency=Reference!$G$11</xm:f>
            <x14:dxf>
              <numFmt numFmtId="177" formatCode="[$DKK]\ #,##0.00_);[Red]\([$DKK]\ #,##0.00\)"/>
            </x14:dxf>
          </x14:cfRule>
          <x14:cfRule type="expression" priority="82" id="{8E7E8DAF-678A-414A-8AA9-5FCEBF89BDE7}">
            <xm:f>Currency=Reference!$G$10</xm:f>
            <x14:dxf>
              <numFmt numFmtId="176" formatCode="[$JPY]\ #,##0.00_);[Red]\([$JPY]\ #,##0.00\)"/>
            </x14:dxf>
          </x14:cfRule>
          <x14:cfRule type="expression" priority="83" id="{2B980F7B-586C-4A48-AA91-F231F78244EC}">
            <xm:f>Currency=Reference!$G$9</xm:f>
            <x14:dxf>
              <numFmt numFmtId="175" formatCode="[$CAD]\ #,##0.00_);[Red]\([$CAD]\ #,##0.00\)"/>
            </x14:dxf>
          </x14:cfRule>
          <x14:cfRule type="expression" priority="84" id="{4C323F2B-FD5C-4CE6-A16D-B11BD289E646}">
            <xm:f>Currency=Reference!$G$8</xm:f>
            <x14:dxf>
              <numFmt numFmtId="174" formatCode="[$HKD]\ #,##0.00_);[Red]\([$HKD]\ #,##0.00\)"/>
            </x14:dxf>
          </x14:cfRule>
          <x14:cfRule type="expression" priority="85" id="{7FF9BE1A-ACEE-41FC-BB6F-FC422764907D}">
            <xm:f>Currency=Reference!$G$6</xm:f>
            <x14:dxf>
              <numFmt numFmtId="173" formatCode="[$GBP]\ #,##0.00_);[Red]\([$GBP]\ #,##0.00\)"/>
            </x14:dxf>
          </x14:cfRule>
          <x14:cfRule type="expression" priority="86" id="{47825EF7-7F4C-4E85-A109-73E2E9D8F763}">
            <xm:f>Currency=Reference!$G$5</xm:f>
            <x14:dxf>
              <numFmt numFmtId="172" formatCode="[$EUR]\ #,##0.00_);[Red]\([$EUR]\ #,##0.00\)"/>
            </x14:dxf>
          </x14:cfRule>
          <x14:cfRule type="expression" priority="87" id="{DBC24859-86FE-45D6-8382-656BC63DEC43}">
            <xm:f>Currency=Reference!$G$4</xm:f>
            <x14:dxf>
              <numFmt numFmtId="171" formatCode="[$AUD]\ #,##0.00_);[Red]\([$AUD]\ #,##0.00\)"/>
            </x14:dxf>
          </x14:cfRule>
          <x14:cfRule type="expression" priority="88" id="{EC6C804D-37F1-461F-A228-D7CBE24D3BB1}">
            <xm:f>Currency=Reference!$G$3</xm:f>
            <x14:dxf>
              <numFmt numFmtId="170" formatCode="[$NZD]\ #,##0.00_);[Red]\([$NZD]\ #,##0.00\)"/>
            </x14:dxf>
          </x14:cfRule>
          <xm:sqref>D49:H49 D52:H53 D122:H122 D124:H124 D169:H170 D176:H183 D194:H195 D67:H68 K189:K192 K195 D185:H185 D44:H44 D134:H135 D153:H153 D70:H70 D85:H85 D198:H204 D207:H213 D189:H192</xm:sqref>
        </x14:conditionalFormatting>
        <x14:conditionalFormatting xmlns:xm="http://schemas.microsoft.com/office/excel/2006/main">
          <x14:cfRule type="expression" priority="72" id="{C0800882-CBA8-49B0-AEC5-EB0E13B7E5DA}">
            <xm:f>Currency=Reference!$G$11</xm:f>
            <x14:dxf>
              <numFmt numFmtId="177" formatCode="[$DKK]\ #,##0.00_);[Red]\([$DKK]\ #,##0.00\)"/>
            </x14:dxf>
          </x14:cfRule>
          <x14:cfRule type="expression" priority="73" id="{ED81E026-D607-4995-9A51-38037F9DA336}">
            <xm:f>Currency=Reference!$G$10</xm:f>
            <x14:dxf>
              <numFmt numFmtId="176" formatCode="[$JPY]\ #,##0.00_);[Red]\([$JPY]\ #,##0.00\)"/>
            </x14:dxf>
          </x14:cfRule>
          <x14:cfRule type="expression" priority="74" id="{2C0BF50D-C425-4A26-B367-679F3D2A0F07}">
            <xm:f>Currency=Reference!$G$9</xm:f>
            <x14:dxf>
              <numFmt numFmtId="175" formatCode="[$CAD]\ #,##0.00_);[Red]\([$CAD]\ #,##0.00\)"/>
            </x14:dxf>
          </x14:cfRule>
          <x14:cfRule type="expression" priority="75" id="{1F6E31F8-280E-4FAB-A900-F6BC6BCA1ECF}">
            <xm:f>Currency=Reference!$G$8</xm:f>
            <x14:dxf>
              <numFmt numFmtId="174" formatCode="[$HKD]\ #,##0.00_);[Red]\([$HKD]\ #,##0.00\)"/>
            </x14:dxf>
          </x14:cfRule>
          <x14:cfRule type="expression" priority="76" id="{909732EB-6715-4050-A905-AA573AE2DF00}">
            <xm:f>Currency=Reference!$G$6</xm:f>
            <x14:dxf>
              <numFmt numFmtId="173" formatCode="[$GBP]\ #,##0.00_);[Red]\([$GBP]\ #,##0.00\)"/>
            </x14:dxf>
          </x14:cfRule>
          <x14:cfRule type="expression" priority="77" id="{25FEE483-B746-40D0-AE3E-BC09E12B68F5}">
            <xm:f>Currency=Reference!$G$5</xm:f>
            <x14:dxf>
              <numFmt numFmtId="172" formatCode="[$EUR]\ #,##0.00_);[Red]\([$EUR]\ #,##0.00\)"/>
            </x14:dxf>
          </x14:cfRule>
          <x14:cfRule type="expression" priority="78" id="{8152AC5D-F993-41AA-A165-12A0BBADE87F}">
            <xm:f>Currency=Reference!$G$4</xm:f>
            <x14:dxf>
              <numFmt numFmtId="171" formatCode="[$AUD]\ #,##0.00_);[Red]\([$AUD]\ #,##0.00\)"/>
            </x14:dxf>
          </x14:cfRule>
          <x14:cfRule type="expression" priority="79" id="{62674BA9-4D58-4D93-AFE8-9C9596C02598}">
            <xm:f>Currency=Reference!$G$3</xm:f>
            <x14:dxf>
              <numFmt numFmtId="170" formatCode="[$NZD]\ #,##0.00_);[Red]\([$NZD]\ #,##0.00\)"/>
            </x14:dxf>
          </x14:cfRule>
          <xm:sqref>D149:H150 D152:H152</xm:sqref>
        </x14:conditionalFormatting>
        <x14:conditionalFormatting xmlns:xm="http://schemas.microsoft.com/office/excel/2006/main">
          <x14:cfRule type="expression" priority="64" id="{6F805049-C882-4D38-BA2B-5A0731DE2868}">
            <xm:f>Currency=Reference!$G$11</xm:f>
            <x14:dxf>
              <numFmt numFmtId="177" formatCode="[$DKK]\ #,##0.00_);[Red]\([$DKK]\ #,##0.00\)"/>
            </x14:dxf>
          </x14:cfRule>
          <x14:cfRule type="expression" priority="65" id="{896EC478-7D20-460E-B4AC-79C600EF437C}">
            <xm:f>Currency=Reference!$G$10</xm:f>
            <x14:dxf>
              <numFmt numFmtId="176" formatCode="[$JPY]\ #,##0.00_);[Red]\([$JPY]\ #,##0.00\)"/>
            </x14:dxf>
          </x14:cfRule>
          <x14:cfRule type="expression" priority="66" id="{4C22CABC-9ECE-4909-84A6-F8FC6708E099}">
            <xm:f>Currency=Reference!$G$9</xm:f>
            <x14:dxf>
              <numFmt numFmtId="175" formatCode="[$CAD]\ #,##0.00_);[Red]\([$CAD]\ #,##0.00\)"/>
            </x14:dxf>
          </x14:cfRule>
          <x14:cfRule type="expression" priority="67" id="{9D96A65F-0DEC-4B17-B2B5-0C60EC993B3A}">
            <xm:f>Currency=Reference!$G$8</xm:f>
            <x14:dxf>
              <numFmt numFmtId="174" formatCode="[$HKD]\ #,##0.00_);[Red]\([$HKD]\ #,##0.00\)"/>
            </x14:dxf>
          </x14:cfRule>
          <x14:cfRule type="expression" priority="68" id="{7B040866-5FCD-42F6-807C-8D0DCB93623C}">
            <xm:f>Currency=Reference!$G$6</xm:f>
            <x14:dxf>
              <numFmt numFmtId="173" formatCode="[$GBP]\ #,##0.00_);[Red]\([$GBP]\ #,##0.00\)"/>
            </x14:dxf>
          </x14:cfRule>
          <x14:cfRule type="expression" priority="69" id="{EF91DBF3-B1D8-46AA-8151-D9FF8B1F5A26}">
            <xm:f>Currency=Reference!$G$5</xm:f>
            <x14:dxf>
              <numFmt numFmtId="172" formatCode="[$EUR]\ #,##0.00_);[Red]\([$EUR]\ #,##0.00\)"/>
            </x14:dxf>
          </x14:cfRule>
          <x14:cfRule type="expression" priority="70" id="{F86A7D22-BD51-452D-9ED5-B098636258D3}">
            <xm:f>Currency=Reference!$G$4</xm:f>
            <x14:dxf>
              <numFmt numFmtId="171" formatCode="[$AUD]\ #,##0.00_);[Red]\([$AUD]\ #,##0.00\)"/>
            </x14:dxf>
          </x14:cfRule>
          <x14:cfRule type="expression" priority="71" id="{0A9F4E97-586C-4864-B6CB-EB372DEC5CF7}">
            <xm:f>Currency=Reference!$G$3</xm:f>
            <x14:dxf>
              <numFmt numFmtId="170" formatCode="[$NZD]\ #,##0.00_);[Red]\([$NZD]\ #,##0.00\)"/>
            </x14:dxf>
          </x14:cfRule>
          <xm:sqref>D155:H155</xm:sqref>
        </x14:conditionalFormatting>
        <x14:conditionalFormatting xmlns:xm="http://schemas.microsoft.com/office/excel/2006/main">
          <x14:cfRule type="expression" priority="63" id="{644A772B-AE7F-4BED-B680-53BCE2C8C88C}">
            <xm:f>D102=Reference!$AG$4</xm:f>
            <x14:dxf>
              <font>
                <color theme="1" tint="0.499984740745262"/>
              </font>
              <fill>
                <patternFill>
                  <bgColor theme="1" tint="0.499984740745262"/>
                </patternFill>
              </fill>
            </x14:dxf>
          </x14:cfRule>
          <xm:sqref>D103:H103</xm:sqref>
        </x14:conditionalFormatting>
        <x14:conditionalFormatting xmlns:xm="http://schemas.microsoft.com/office/excel/2006/main">
          <x14:cfRule type="expression" priority="55" id="{B9EB97F0-C1CE-40DB-91B9-5FAA5671A02B}">
            <xm:f>Currency=Reference!$G$11</xm:f>
            <x14:dxf>
              <numFmt numFmtId="177" formatCode="[$DKK]\ #,##0.00_);[Red]\([$DKK]\ #,##0.00\)"/>
            </x14:dxf>
          </x14:cfRule>
          <xm:sqref>D108:H108</xm:sqref>
        </x14:conditionalFormatting>
        <x14:conditionalFormatting xmlns:xm="http://schemas.microsoft.com/office/excel/2006/main">
          <x14:cfRule type="expression" priority="62" id="{02581BAA-B379-494B-A894-E0A4EE94C3F7}">
            <xm:f>Currency=Reference!$G$6</xm:f>
            <x14:dxf>
              <numFmt numFmtId="173" formatCode="[$GBP]\ #,##0.00_);[Red]\([$GBP]\ #,##0.00\)"/>
            </x14:dxf>
          </x14:cfRule>
          <xm:sqref>D108:H108</xm:sqref>
        </x14:conditionalFormatting>
        <x14:conditionalFormatting xmlns:xm="http://schemas.microsoft.com/office/excel/2006/main">
          <x14:cfRule type="expression" priority="56" id="{D37BCB07-416C-40E1-B994-03D5C084F0CF}">
            <xm:f>Currency=Reference!$G$10</xm:f>
            <x14:dxf>
              <numFmt numFmtId="176" formatCode="[$JPY]\ #,##0.00_);[Red]\([$JPY]\ #,##0.00\)"/>
            </x14:dxf>
          </x14:cfRule>
          <xm:sqref>D108:H108</xm:sqref>
        </x14:conditionalFormatting>
        <x14:conditionalFormatting xmlns:xm="http://schemas.microsoft.com/office/excel/2006/main">
          <x14:cfRule type="expression" priority="57" id="{32CC619B-9E0C-460E-B911-E6CEFDAC49B7}">
            <xm:f>Currency=Reference!$G$9</xm:f>
            <x14:dxf>
              <numFmt numFmtId="175" formatCode="[$CAD]\ #,##0.00_);[Red]\([$CAD]\ #,##0.00\)"/>
            </x14:dxf>
          </x14:cfRule>
          <xm:sqref>D108:H108</xm:sqref>
        </x14:conditionalFormatting>
        <x14:conditionalFormatting xmlns:xm="http://schemas.microsoft.com/office/excel/2006/main">
          <x14:cfRule type="expression" priority="58" id="{DAB125C4-86DB-4362-AA3B-B482537F59FE}">
            <xm:f>Currency=Reference!$G$8</xm:f>
            <x14:dxf>
              <numFmt numFmtId="174" formatCode="[$HKD]\ #,##0.00_);[Red]\([$HKD]\ #,##0.00\)"/>
            </x14:dxf>
          </x14:cfRule>
          <xm:sqref>D108:H108</xm:sqref>
        </x14:conditionalFormatting>
        <x14:conditionalFormatting xmlns:xm="http://schemas.microsoft.com/office/excel/2006/main">
          <x14:cfRule type="expression" priority="59" id="{94545DC2-F8D1-4A71-B3CD-4A5DC3FD8931}">
            <xm:f>Currency=Reference!$G$5</xm:f>
            <x14:dxf>
              <numFmt numFmtId="172" formatCode="[$EUR]\ #,##0.00_);[Red]\([$EUR]\ #,##0.00\)"/>
            </x14:dxf>
          </x14:cfRule>
          <xm:sqref>D108:H108</xm:sqref>
        </x14:conditionalFormatting>
        <x14:conditionalFormatting xmlns:xm="http://schemas.microsoft.com/office/excel/2006/main">
          <x14:cfRule type="expression" priority="60" id="{422D526A-FBDF-4B45-9251-29484991BBB0}">
            <xm:f>Currency=Reference!$G$4</xm:f>
            <x14:dxf>
              <numFmt numFmtId="171" formatCode="[$AUD]\ #,##0.00_);[Red]\([$AUD]\ #,##0.00\)"/>
            </x14:dxf>
          </x14:cfRule>
          <xm:sqref>D108:H108</xm:sqref>
        </x14:conditionalFormatting>
        <x14:conditionalFormatting xmlns:xm="http://schemas.microsoft.com/office/excel/2006/main">
          <x14:cfRule type="expression" priority="61" id="{B2365E75-15A9-499A-8355-EC3B4592933D}">
            <xm:f>Currency=Reference!$G$3</xm:f>
            <x14:dxf>
              <numFmt numFmtId="170" formatCode="[$NZD]\ #,##0.00_);[Red]\([$NZD]\ #,##0.00\)"/>
            </x14:dxf>
          </x14:cfRule>
          <xm:sqref>D108:H108</xm:sqref>
        </x14:conditionalFormatting>
        <x14:conditionalFormatting xmlns:xm="http://schemas.microsoft.com/office/excel/2006/main">
          <x14:cfRule type="expression" priority="54" id="{88E48564-AC21-436F-9084-6E6F309F3F9F}">
            <xm:f>Currency=Reference!$G$6</xm:f>
            <x14:dxf>
              <numFmt numFmtId="173" formatCode="[$GBP]\ #,##0.00_);[Red]\([$GBP]\ #,##0.00\)"/>
            </x14:dxf>
          </x14:cfRule>
          <xm:sqref>D107:H107</xm:sqref>
        </x14:conditionalFormatting>
        <x14:conditionalFormatting xmlns:xm="http://schemas.microsoft.com/office/excel/2006/main">
          <x14:cfRule type="expression" priority="47" id="{03C2BC65-85CF-4D87-9814-8132A97D684C}">
            <xm:f>Currency=Reference!$G$11</xm:f>
            <x14:dxf>
              <numFmt numFmtId="177" formatCode="[$DKK]\ #,##0.00_);[Red]\([$DKK]\ #,##0.00\)"/>
            </x14:dxf>
          </x14:cfRule>
          <xm:sqref>D107:H107</xm:sqref>
        </x14:conditionalFormatting>
        <x14:conditionalFormatting xmlns:xm="http://schemas.microsoft.com/office/excel/2006/main">
          <x14:cfRule type="expression" priority="48" id="{868680F9-D6D4-4C48-B663-D02128792719}">
            <xm:f>Currency=Reference!$G$10</xm:f>
            <x14:dxf>
              <numFmt numFmtId="176" formatCode="[$JPY]\ #,##0.00_);[Red]\([$JPY]\ #,##0.00\)"/>
            </x14:dxf>
          </x14:cfRule>
          <xm:sqref>D107:H107</xm:sqref>
        </x14:conditionalFormatting>
        <x14:conditionalFormatting xmlns:xm="http://schemas.microsoft.com/office/excel/2006/main">
          <x14:cfRule type="expression" priority="49" id="{F4507022-6687-4714-8BAE-72E55A4169E6}">
            <xm:f>Currency=Reference!$G$9</xm:f>
            <x14:dxf>
              <numFmt numFmtId="175" formatCode="[$CAD]\ #,##0.00_);[Red]\([$CAD]\ #,##0.00\)"/>
            </x14:dxf>
          </x14:cfRule>
          <xm:sqref>D107:H107</xm:sqref>
        </x14:conditionalFormatting>
        <x14:conditionalFormatting xmlns:xm="http://schemas.microsoft.com/office/excel/2006/main">
          <x14:cfRule type="expression" priority="50" id="{08A7666E-C791-4744-B254-0DBF2D8C2C7D}">
            <xm:f>Currency=Reference!$G$8</xm:f>
            <x14:dxf>
              <numFmt numFmtId="174" formatCode="[$HKD]\ #,##0.00_);[Red]\([$HKD]\ #,##0.00\)"/>
            </x14:dxf>
          </x14:cfRule>
          <xm:sqref>D107:H107</xm:sqref>
        </x14:conditionalFormatting>
        <x14:conditionalFormatting xmlns:xm="http://schemas.microsoft.com/office/excel/2006/main">
          <x14:cfRule type="expression" priority="51" id="{AE98C52E-18BF-47C6-8441-F6FC19A6A70A}">
            <xm:f>Currency=Reference!$G$5</xm:f>
            <x14:dxf>
              <numFmt numFmtId="172" formatCode="[$EUR]\ #,##0.00_);[Red]\([$EUR]\ #,##0.00\)"/>
            </x14:dxf>
          </x14:cfRule>
          <xm:sqref>D107:H107</xm:sqref>
        </x14:conditionalFormatting>
        <x14:conditionalFormatting xmlns:xm="http://schemas.microsoft.com/office/excel/2006/main">
          <x14:cfRule type="expression" priority="52" id="{BF5A5077-3926-45F6-88EF-E687B9699931}">
            <xm:f>Currency=Reference!$G$4</xm:f>
            <x14:dxf>
              <numFmt numFmtId="171" formatCode="[$AUD]\ #,##0.00_);[Red]\([$AUD]\ #,##0.00\)"/>
            </x14:dxf>
          </x14:cfRule>
          <xm:sqref>D107:H107</xm:sqref>
        </x14:conditionalFormatting>
        <x14:conditionalFormatting xmlns:xm="http://schemas.microsoft.com/office/excel/2006/main">
          <x14:cfRule type="expression" priority="53" id="{BE4D20E8-74E3-426E-99C3-5762536D670A}">
            <xm:f>Currency=Reference!$G$3</xm:f>
            <x14:dxf>
              <numFmt numFmtId="170" formatCode="[$NZD]\ #,##0.00_);[Red]\([$NZD]\ #,##0.00\)"/>
            </x14:dxf>
          </x14:cfRule>
          <xm:sqref>D107:H107</xm:sqref>
        </x14:conditionalFormatting>
        <x14:conditionalFormatting xmlns:xm="http://schemas.microsoft.com/office/excel/2006/main">
          <x14:cfRule type="expression" priority="46" id="{0CFDECCD-B2E0-4BF1-9F29-BE6C94F71CB0}">
            <xm:f>D$71=Reference!$AF$3</xm:f>
            <x14:dxf>
              <font>
                <color theme="1" tint="0.499984740745262"/>
              </font>
              <fill>
                <patternFill>
                  <bgColor theme="1" tint="0.499984740745262"/>
                </patternFill>
              </fill>
            </x14:dxf>
          </x14:cfRule>
          <xm:sqref>D101:H103 D107:H108</xm:sqref>
        </x14:conditionalFormatting>
        <x14:conditionalFormatting xmlns:xm="http://schemas.microsoft.com/office/excel/2006/main">
          <x14:cfRule type="expression" priority="45" id="{CCA9C073-B2FD-4CA8-81D8-9F45AC823128}">
            <xm:f>D$71=Reference!$AF$4</xm:f>
            <x14:dxf>
              <font>
                <color theme="1" tint="0.499984740745262"/>
              </font>
              <fill>
                <patternFill>
                  <bgColor theme="1" tint="0.499984740745262"/>
                </patternFill>
              </fill>
            </x14:dxf>
          </x14:cfRule>
          <xm:sqref>D104:H105</xm:sqref>
        </x14:conditionalFormatting>
        <x14:conditionalFormatting xmlns:xm="http://schemas.microsoft.com/office/excel/2006/main">
          <x14:cfRule type="expression" priority="44" id="{F4B56328-098C-4666-B559-E39A05241E03}">
            <xm:f>D$71=Reference!$AF$4</xm:f>
            <x14:dxf>
              <font>
                <color theme="1" tint="0.499984740745262"/>
              </font>
              <fill>
                <patternFill>
                  <bgColor theme="1" tint="0.499984740745262"/>
                </patternFill>
              </fill>
            </x14:dxf>
          </x14:cfRule>
          <xm:sqref>D106:H106</xm:sqref>
        </x14:conditionalFormatting>
        <x14:conditionalFormatting xmlns:xm="http://schemas.microsoft.com/office/excel/2006/main">
          <x14:cfRule type="expression" priority="43" id="{8D0F1F6B-CF0D-4E43-B199-3984CC2E6944}">
            <xm:f>D$98=Reference!$AF$3</xm:f>
            <x14:dxf>
              <font>
                <color theme="1" tint="0.499984740745262"/>
              </font>
              <fill>
                <patternFill>
                  <bgColor theme="1" tint="0.499984740745262"/>
                </patternFill>
              </fill>
            </x14:dxf>
          </x14:cfRule>
          <xm:sqref>D101:H108</xm:sqref>
        </x14:conditionalFormatting>
        <x14:conditionalFormatting xmlns:xm="http://schemas.microsoft.com/office/excel/2006/main">
          <x14:cfRule type="expression" priority="41" id="{1B470A75-F407-4A2A-801D-DCEC5E5098D6}">
            <xm:f>D$98=Reference!$AF$4</xm:f>
            <x14:dxf>
              <font>
                <color theme="1" tint="0.499984740745262"/>
              </font>
              <fill>
                <patternFill>
                  <bgColor theme="1" tint="0.499984740745262"/>
                </patternFill>
              </fill>
            </x14:dxf>
          </x14:cfRule>
          <xm:sqref>D112:H124 D138:H138 D155:H155 D141:H153 D127:H130 D132:H135</xm:sqref>
        </x14:conditionalFormatting>
        <x14:conditionalFormatting xmlns:xm="http://schemas.microsoft.com/office/excel/2006/main">
          <x14:cfRule type="expression" priority="25" id="{F365C2E3-B3C3-4224-AF81-CB49C8892A48}">
            <xm:f>Currency=Reference!$G$11</xm:f>
            <x14:dxf>
              <numFmt numFmtId="177" formatCode="[$DKK]\ #,##0.00_);[Red]\([$DKK]\ #,##0.00\)"/>
            </x14:dxf>
          </x14:cfRule>
          <x14:cfRule type="expression" priority="26" id="{B94C9575-66F5-41CA-9800-2E2DA8347B03}">
            <xm:f>Currency=Reference!$G$10</xm:f>
            <x14:dxf>
              <numFmt numFmtId="176" formatCode="[$JPY]\ #,##0.00_);[Red]\([$JPY]\ #,##0.00\)"/>
            </x14:dxf>
          </x14:cfRule>
          <x14:cfRule type="expression" priority="27" id="{A74E4CB6-474F-4D77-8BFF-8778FA92F791}">
            <xm:f>Currency=Reference!$G$9</xm:f>
            <x14:dxf>
              <numFmt numFmtId="175" formatCode="[$CAD]\ #,##0.00_);[Red]\([$CAD]\ #,##0.00\)"/>
            </x14:dxf>
          </x14:cfRule>
          <x14:cfRule type="expression" priority="28" id="{42F4E0E3-575B-46DB-A45F-2F394D05B7CA}">
            <xm:f>Currency=Reference!$G$8</xm:f>
            <x14:dxf>
              <numFmt numFmtId="174" formatCode="[$HKD]\ #,##0.00_);[Red]\([$HKD]\ #,##0.00\)"/>
            </x14:dxf>
          </x14:cfRule>
          <x14:cfRule type="expression" priority="29" id="{8D669132-39C1-4D4E-9007-73827D717539}">
            <xm:f>Currency=Reference!$G$6</xm:f>
            <x14:dxf>
              <numFmt numFmtId="173" formatCode="[$GBP]\ #,##0.00_);[Red]\([$GBP]\ #,##0.00\)"/>
            </x14:dxf>
          </x14:cfRule>
          <x14:cfRule type="expression" priority="30" id="{A53B2676-1DE3-437B-83D5-906E6C404C5A}">
            <xm:f>Currency=Reference!$G$5</xm:f>
            <x14:dxf>
              <numFmt numFmtId="172" formatCode="[$EUR]\ #,##0.00_);[Red]\([$EUR]\ #,##0.00\)"/>
            </x14:dxf>
          </x14:cfRule>
          <x14:cfRule type="expression" priority="31" id="{3351667F-72BC-4FEC-92DA-45FDA5E3DD08}">
            <xm:f>Currency=Reference!$G$4</xm:f>
            <x14:dxf>
              <numFmt numFmtId="171" formatCode="[$AUD]\ #,##0.00_);[Red]\([$AUD]\ #,##0.00\)"/>
            </x14:dxf>
          </x14:cfRule>
          <x14:cfRule type="expression" priority="32" id="{539F53A1-055D-472B-8A84-62EEC0C983CB}">
            <xm:f>Currency=Reference!$G$3</xm:f>
            <x14:dxf>
              <numFmt numFmtId="170" formatCode="[$NZD]\ #,##0.00_);[Red]\([$NZD]\ #,##0.00\)"/>
            </x14:dxf>
          </x14:cfRule>
          <xm:sqref>D81:H81</xm:sqref>
        </x14:conditionalFormatting>
        <x14:conditionalFormatting xmlns:xm="http://schemas.microsoft.com/office/excel/2006/main">
          <x14:cfRule type="expression" priority="17" id="{F3AADACE-7FE1-48AC-ADEC-6A81E4CE6052}">
            <xm:f>Currency=Reference!$G$11</xm:f>
            <x14:dxf>
              <numFmt numFmtId="177" formatCode="[$DKK]\ #,##0.00_);[Red]\([$DKK]\ #,##0.00\)"/>
            </x14:dxf>
          </x14:cfRule>
          <x14:cfRule type="expression" priority="18" id="{C9F07C3C-8F0B-4325-8B84-5EAA40D491E4}">
            <xm:f>Currency=Reference!$G$10</xm:f>
            <x14:dxf>
              <numFmt numFmtId="176" formatCode="[$JPY]\ #,##0.00_);[Red]\([$JPY]\ #,##0.00\)"/>
            </x14:dxf>
          </x14:cfRule>
          <x14:cfRule type="expression" priority="19" id="{E3522271-1C5A-45B1-AE0D-9B0FE4A79A8C}">
            <xm:f>Currency=Reference!$G$9</xm:f>
            <x14:dxf>
              <numFmt numFmtId="175" formatCode="[$CAD]\ #,##0.00_);[Red]\([$CAD]\ #,##0.00\)"/>
            </x14:dxf>
          </x14:cfRule>
          <x14:cfRule type="expression" priority="20" id="{D0565695-12D3-4BB9-AA4B-CF8C4598E47E}">
            <xm:f>Currency=Reference!$G$8</xm:f>
            <x14:dxf>
              <numFmt numFmtId="174" formatCode="[$HKD]\ #,##0.00_);[Red]\([$HKD]\ #,##0.00\)"/>
            </x14:dxf>
          </x14:cfRule>
          <x14:cfRule type="expression" priority="21" id="{D3A0F9A2-81AB-4DEF-9F9D-F5C7F4DD51A5}">
            <xm:f>Currency=Reference!$G$6</xm:f>
            <x14:dxf>
              <numFmt numFmtId="173" formatCode="[$GBP]\ #,##0.00_);[Red]\([$GBP]\ #,##0.00\)"/>
            </x14:dxf>
          </x14:cfRule>
          <x14:cfRule type="expression" priority="22" id="{363CFD2C-2E39-4447-96FA-8DD629903271}">
            <xm:f>Currency=Reference!$G$5</xm:f>
            <x14:dxf>
              <numFmt numFmtId="172" formatCode="[$EUR]\ #,##0.00_);[Red]\([$EUR]\ #,##0.00\)"/>
            </x14:dxf>
          </x14:cfRule>
          <x14:cfRule type="expression" priority="23" id="{0E990CEB-6B56-4A7C-8EBB-21940E31E939}">
            <xm:f>Currency=Reference!$G$4</xm:f>
            <x14:dxf>
              <numFmt numFmtId="171" formatCode="[$AUD]\ #,##0.00_);[Red]\([$AUD]\ #,##0.00\)"/>
            </x14:dxf>
          </x14:cfRule>
          <x14:cfRule type="expression" priority="24" id="{7B097ADA-12BE-4900-B492-D1C1947D325C}">
            <xm:f>Currency=Reference!$G$3</xm:f>
            <x14:dxf>
              <numFmt numFmtId="170" formatCode="[$NZD]\ #,##0.00_);[Red]\([$NZD]\ #,##0.00\)"/>
            </x14:dxf>
          </x14:cfRule>
          <xm:sqref>D80:H80</xm:sqref>
        </x14:conditionalFormatting>
        <x14:conditionalFormatting xmlns:xm="http://schemas.microsoft.com/office/excel/2006/main">
          <x14:cfRule type="expression" priority="9" id="{F3AEAE72-F9C8-4CB3-BCB1-6C13AD4DC1DB}">
            <xm:f>Currency=Reference!$G$11</xm:f>
            <x14:dxf>
              <numFmt numFmtId="177" formatCode="[$DKK]\ #,##0.00_);[Red]\([$DKK]\ #,##0.00\)"/>
            </x14:dxf>
          </x14:cfRule>
          <x14:cfRule type="expression" priority="10" id="{B78EFF46-67F7-4A97-B092-AD7A9D5D4D86}">
            <xm:f>Currency=Reference!$G$10</xm:f>
            <x14:dxf>
              <numFmt numFmtId="176" formatCode="[$JPY]\ #,##0.00_);[Red]\([$JPY]\ #,##0.00\)"/>
            </x14:dxf>
          </x14:cfRule>
          <x14:cfRule type="expression" priority="11" id="{447BDBAF-DEC6-42CE-BE58-D172EB6F2910}">
            <xm:f>Currency=Reference!$G$9</xm:f>
            <x14:dxf>
              <numFmt numFmtId="175" formatCode="[$CAD]\ #,##0.00_);[Red]\([$CAD]\ #,##0.00\)"/>
            </x14:dxf>
          </x14:cfRule>
          <x14:cfRule type="expression" priority="12" id="{2CA5DE6D-613B-4AD8-B12F-D5E55C03CFD3}">
            <xm:f>Currency=Reference!$G$8</xm:f>
            <x14:dxf>
              <numFmt numFmtId="174" formatCode="[$HKD]\ #,##0.00_);[Red]\([$HKD]\ #,##0.00\)"/>
            </x14:dxf>
          </x14:cfRule>
          <x14:cfRule type="expression" priority="13" id="{6D2B8345-8235-4994-822E-095B521729A1}">
            <xm:f>Currency=Reference!$G$6</xm:f>
            <x14:dxf>
              <numFmt numFmtId="173" formatCode="[$GBP]\ #,##0.00_);[Red]\([$GBP]\ #,##0.00\)"/>
            </x14:dxf>
          </x14:cfRule>
          <x14:cfRule type="expression" priority="14" id="{09D8BD19-B11D-467E-B97F-E815C7798EF1}">
            <xm:f>Currency=Reference!$G$5</xm:f>
            <x14:dxf>
              <numFmt numFmtId="172" formatCode="[$EUR]\ #,##0.00_);[Red]\([$EUR]\ #,##0.00\)"/>
            </x14:dxf>
          </x14:cfRule>
          <x14:cfRule type="expression" priority="15" id="{610DF00B-32B6-41D1-A124-57148E8F7F61}">
            <xm:f>Currency=Reference!$G$4</xm:f>
            <x14:dxf>
              <numFmt numFmtId="171" formatCode="[$AUD]\ #,##0.00_);[Red]\([$AUD]\ #,##0.00\)"/>
            </x14:dxf>
          </x14:cfRule>
          <x14:cfRule type="expression" priority="16" id="{C364D612-B87D-4EAE-9616-358C5A47DF5E}">
            <xm:f>Currency=Reference!$G$3</xm:f>
            <x14:dxf>
              <numFmt numFmtId="170" formatCode="[$NZD]\ #,##0.00_);[Red]\([$NZD]\ #,##0.00\)"/>
            </x14:dxf>
          </x14:cfRule>
          <xm:sqref>D83:H83</xm:sqref>
        </x14:conditionalFormatting>
        <x14:conditionalFormatting xmlns:xm="http://schemas.microsoft.com/office/excel/2006/main">
          <x14:cfRule type="expression" priority="8" id="{5D223D61-3BD8-4C93-90CF-59AF97909463}">
            <xm:f>D$98=Reference!$AF$4</xm:f>
            <x14:dxf>
              <font>
                <color theme="1" tint="0.499984740745262"/>
              </font>
              <fill>
                <patternFill>
                  <bgColor theme="1" tint="0.499984740745262"/>
                </patternFill>
              </fill>
            </x14:dxf>
          </x14:cfRule>
          <xm:sqref>D139:H140</xm:sqref>
        </x14:conditionalFormatting>
        <x14:conditionalFormatting xmlns:xm="http://schemas.microsoft.com/office/excel/2006/main">
          <x14:cfRule type="expression" priority="3" id="{6495649C-AA23-4140-AF24-70F0FE1BA17C}">
            <xm:f>D$98=Reference!$AF$4</xm:f>
            <x14:dxf>
              <font>
                <color theme="1" tint="0.499984740745262"/>
              </font>
              <fill>
                <patternFill>
                  <bgColor theme="1" tint="0.499984740745262"/>
                </patternFill>
              </fill>
            </x14:dxf>
          </x14:cfRule>
          <xm:sqref>D131:H131</xm:sqref>
        </x14:conditionalFormatting>
        <x14:conditionalFormatting xmlns:xm="http://schemas.microsoft.com/office/excel/2006/main">
          <x14:cfRule type="expression" priority="42" id="{45E551AB-C009-404A-82C3-53917ED46051}">
            <xm:f>D$28=Reference!$W$4</xm:f>
            <x14:dxf>
              <fill>
                <patternFill>
                  <bgColor rgb="FFFFCCFF"/>
                </patternFill>
              </fill>
            </x14:dxf>
          </x14:cfRule>
          <xm:sqref>D127:H127 D131:H132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462E06F9-5691-429A-A7AA-005ED250F0A8}">
          <x14:formula1>
            <xm:f>Reference!$E$3:$E$37</xm:f>
          </x14:formula1>
          <xm:sqref>D9:H9 D161:H162</xm:sqref>
        </x14:dataValidation>
        <x14:dataValidation type="list" allowBlank="1" showInputMessage="1" showErrorMessage="1" xr:uid="{560F5B31-5119-412E-B47B-FB3F80F8D6A3}">
          <x14:formula1>
            <xm:f>Reference!$N$3:$N$4</xm:f>
          </x14:formula1>
          <xm:sqref>D163:H163</xm:sqref>
        </x14:dataValidation>
        <x14:dataValidation type="list" allowBlank="1" showInputMessage="1" showErrorMessage="1" xr:uid="{AFB2A078-56BE-40E5-9EF3-CE497E950734}">
          <x14:formula1>
            <xm:f>Reference!$H$3:$H$5</xm:f>
          </x14:formula1>
          <xm:sqref>D116:H116 D61:H61 D143:H143 D75:H75</xm:sqref>
        </x14:dataValidation>
        <x14:dataValidation type="list" allowBlank="1" showInputMessage="1" showErrorMessage="1" xr:uid="{3639610A-ECAA-4723-B599-579D7AEEAFE0}">
          <x14:formula1>
            <xm:f>Reference!$L$3:$L$5</xm:f>
          </x14:formula1>
          <xm:sqref>D42:H42 D132:H132</xm:sqref>
        </x14:dataValidation>
        <x14:dataValidation type="list" allowBlank="1" showInputMessage="1" showErrorMessage="1" xr:uid="{991045BB-CB14-4CBA-902F-27F423EB8410}">
          <x14:formula1>
            <xm:f>Reference!$AF$3:$AF$4</xm:f>
          </x14:formula1>
          <xm:sqref>D97:H97</xm:sqref>
        </x14:dataValidation>
        <x14:dataValidation type="list" allowBlank="1" showInputMessage="1" showErrorMessage="1" xr:uid="{E10C0801-7E2A-4A46-97CA-ED3F7A71731A}">
          <x14:formula1>
            <xm:f>Reference!$AH$3:$AH$5</xm:f>
          </x14:formula1>
          <xm:sqref>D105:H105</xm:sqref>
        </x14:dataValidation>
        <x14:dataValidation type="list" allowBlank="1" showInputMessage="1" showErrorMessage="1" xr:uid="{CD21315C-F51B-44BA-8D47-6E947F534A25}">
          <x14:formula1>
            <xm:f>Reference!$AG$3:$AG$4</xm:f>
          </x14:formula1>
          <xm:sqref>D102:H102</xm:sqref>
        </x14:dataValidation>
        <x14:dataValidation type="list" allowBlank="1" showInputMessage="1" showErrorMessage="1" xr:uid="{B211123B-CF8E-4550-BE52-5DA76DF57F12}">
          <x14:formula1>
            <xm:f>Reference!$AE$3:$AE$5</xm:f>
          </x14:formula1>
          <xm:sqref>D57:H57 D139:H139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B744-CE9E-40CC-BFF7-982BF9AC2626}">
  <sheetPr codeName="Sheet2"/>
  <dimension ref="B1:F27"/>
  <sheetViews>
    <sheetView showGridLines="0" zoomScale="85" zoomScaleNormal="85" workbookViewId="0"/>
  </sheetViews>
  <sheetFormatPr defaultColWidth="9" defaultRowHeight="16.5" x14ac:dyDescent="0.3"/>
  <cols>
    <col min="1" max="1" width="1.85546875" style="27" customWidth="1"/>
    <col min="2" max="2" width="55.85546875" style="27" customWidth="1"/>
    <col min="3" max="6" width="26.85546875" style="27" customWidth="1"/>
    <col min="7" max="9" width="21.5703125" style="27" customWidth="1"/>
    <col min="10" max="16384" width="9" style="27"/>
  </cols>
  <sheetData>
    <row r="1" spans="2:6" s="113" customFormat="1" ht="35.1" customHeight="1" x14ac:dyDescent="0.25">
      <c r="B1" s="156" t="s">
        <v>550</v>
      </c>
      <c r="C1" s="105"/>
      <c r="D1" s="105"/>
      <c r="E1" s="105"/>
      <c r="F1" s="105"/>
    </row>
    <row r="2" spans="2:6" ht="20.100000000000001" customHeight="1" x14ac:dyDescent="0.3">
      <c r="B2" s="103" t="e">
        <f ca="1">MID(CELL("filename",B1),FIND("]",CELL("filename",B1))+1,255)</f>
        <v>#VALUE!</v>
      </c>
      <c r="C2" s="104"/>
      <c r="D2" s="104"/>
      <c r="E2" s="104"/>
      <c r="F2" s="104"/>
    </row>
    <row r="3" spans="2:6" x14ac:dyDescent="0.3">
      <c r="B3" s="149"/>
    </row>
    <row r="4" spans="2:6" x14ac:dyDescent="0.3">
      <c r="B4" s="237" t="s">
        <v>316</v>
      </c>
    </row>
    <row r="5" spans="2:6" ht="49.15" customHeight="1" x14ac:dyDescent="0.3">
      <c r="B5" s="376" t="s">
        <v>449</v>
      </c>
      <c r="C5" s="376"/>
      <c r="D5" s="376"/>
      <c r="E5" s="376"/>
      <c r="F5" s="376"/>
    </row>
    <row r="6" spans="2:6" x14ac:dyDescent="0.3">
      <c r="B6" s="77" t="s">
        <v>237</v>
      </c>
      <c r="C6" s="238" t="str">
        <f>Reference!$Y$3</f>
        <v>Light</v>
      </c>
      <c r="D6" s="238" t="str">
        <f>Reference!$Y$4</f>
        <v>Medium</v>
      </c>
      <c r="E6" s="238" t="str">
        <f>Reference!$Y$5</f>
        <v>Heavy</v>
      </c>
      <c r="F6" s="238" t="str">
        <f>Reference!$Y$6</f>
        <v>Heavy Graphics</v>
      </c>
    </row>
    <row r="7" spans="2:6" ht="66" x14ac:dyDescent="0.3">
      <c r="B7" s="214" t="s">
        <v>2</v>
      </c>
      <c r="C7" s="239" t="s">
        <v>271</v>
      </c>
      <c r="D7" s="239" t="s">
        <v>272</v>
      </c>
      <c r="E7" s="239" t="s">
        <v>273</v>
      </c>
      <c r="F7" s="239" t="s">
        <v>274</v>
      </c>
    </row>
    <row r="8" spans="2:6" x14ac:dyDescent="0.3">
      <c r="B8" s="125" t="str">
        <f>'4. Infrastructure Cost'!C35&amp;" "&amp;Reference!$I$3</f>
        <v>VM Instance (Default) Multi-session</v>
      </c>
      <c r="C8" s="168" t="s">
        <v>232</v>
      </c>
      <c r="D8" s="168" t="s">
        <v>232</v>
      </c>
      <c r="E8" s="168" t="s">
        <v>232</v>
      </c>
      <c r="F8" s="168" t="s">
        <v>233</v>
      </c>
    </row>
    <row r="9" spans="2:6" x14ac:dyDescent="0.3">
      <c r="B9" s="125" t="str">
        <f>'4. Infrastructure Cost'!C35&amp;" "&amp;Reference!$I$4</f>
        <v>VM Instance (Default) Single-session</v>
      </c>
      <c r="C9" s="168" t="s">
        <v>543</v>
      </c>
      <c r="D9" s="168" t="s">
        <v>543</v>
      </c>
      <c r="E9" s="168" t="s">
        <v>543</v>
      </c>
      <c r="F9" s="168" t="s">
        <v>233</v>
      </c>
    </row>
    <row r="10" spans="2:6" x14ac:dyDescent="0.3">
      <c r="B10" s="116" t="str">
        <f>'4. Infrastructure Cost'!C31</f>
        <v># users/vCPU (only valid for multi-session) (Default)</v>
      </c>
      <c r="C10" s="240">
        <v>6</v>
      </c>
      <c r="D10" s="240">
        <v>4</v>
      </c>
      <c r="E10" s="240">
        <v>3</v>
      </c>
      <c r="F10" s="240">
        <v>1</v>
      </c>
    </row>
    <row r="11" spans="2:6" x14ac:dyDescent="0.3">
      <c r="B11" s="116" t="str">
        <f>'4. Infrastructure Cost'!C56</f>
        <v>OS Disk size (GB) required (Default)</v>
      </c>
      <c r="C11" s="240">
        <v>127</v>
      </c>
      <c r="D11" s="240">
        <v>127</v>
      </c>
      <c r="E11" s="240">
        <v>127</v>
      </c>
      <c r="F11" s="240">
        <v>127</v>
      </c>
    </row>
    <row r="12" spans="2:6" x14ac:dyDescent="0.3">
      <c r="B12" s="116" t="str">
        <f>'4. Infrastructure Cost'!C59</f>
        <v># OS Disk per VM (Default)</v>
      </c>
      <c r="C12" s="240">
        <v>1</v>
      </c>
      <c r="D12" s="240">
        <v>1</v>
      </c>
      <c r="E12" s="240">
        <v>1</v>
      </c>
      <c r="F12" s="240">
        <v>1</v>
      </c>
    </row>
    <row r="13" spans="2:6" x14ac:dyDescent="0.3">
      <c r="B13" s="116" t="str">
        <f>'4. Infrastructure Cost'!C60</f>
        <v>OS Disk Tier (Default)</v>
      </c>
      <c r="C13" s="168" t="s">
        <v>114</v>
      </c>
      <c r="D13" s="168" t="s">
        <v>114</v>
      </c>
      <c r="E13" s="168" t="s">
        <v>114</v>
      </c>
      <c r="F13" s="168" t="s">
        <v>114</v>
      </c>
    </row>
    <row r="14" spans="2:6" x14ac:dyDescent="0.3">
      <c r="B14" s="116" t="str">
        <f>'4. Infrastructure Cost'!C112</f>
        <v>Profile Disk size (GB) required (Default)</v>
      </c>
      <c r="C14" s="168">
        <v>2000</v>
      </c>
      <c r="D14" s="168">
        <v>2000</v>
      </c>
      <c r="E14" s="168">
        <v>2000</v>
      </c>
      <c r="F14" s="168">
        <v>2000</v>
      </c>
    </row>
    <row r="15" spans="2:6" x14ac:dyDescent="0.3">
      <c r="B15" s="116" t="str">
        <f>'4. Infrastructure Cost'!C91</f>
        <v>Storage GB/user (Default)</v>
      </c>
      <c r="C15" s="240">
        <v>20</v>
      </c>
      <c r="D15" s="240">
        <v>20</v>
      </c>
      <c r="E15" s="240">
        <v>20</v>
      </c>
      <c r="F15" s="240">
        <v>20</v>
      </c>
    </row>
    <row r="16" spans="2:6" x14ac:dyDescent="0.3">
      <c r="B16" s="116" t="str">
        <f>'4. Infrastructure Cost'!C96</f>
        <v>Storage Option (Default)</v>
      </c>
      <c r="C16" s="168" t="str">
        <f>Reference!$AF$4</f>
        <v>Azure NetApp Files</v>
      </c>
      <c r="D16" s="168" t="str">
        <f>Reference!$AF$4</f>
        <v>Azure NetApp Files</v>
      </c>
      <c r="E16" s="168" t="str">
        <f>Reference!$AF$4</f>
        <v>Azure NetApp Files</v>
      </c>
      <c r="F16" s="168" t="str">
        <f>Reference!$AF$4</f>
        <v>Azure NetApp Files</v>
      </c>
    </row>
    <row r="17" spans="2:6" x14ac:dyDescent="0.3">
      <c r="B17" s="116" t="s">
        <v>483</v>
      </c>
      <c r="C17" s="168" t="s">
        <v>478</v>
      </c>
      <c r="D17" s="168" t="s">
        <v>478</v>
      </c>
      <c r="E17" s="168" t="s">
        <v>478</v>
      </c>
      <c r="F17" s="168" t="s">
        <v>478</v>
      </c>
    </row>
    <row r="18" spans="2:6" x14ac:dyDescent="0.3">
      <c r="B18" s="116" t="str">
        <f>'4. Infrastructure Cost'!C115</f>
        <v>Profile Disk Tier (Default)</v>
      </c>
      <c r="C18" s="168" t="s">
        <v>114</v>
      </c>
      <c r="D18" s="168" t="s">
        <v>114</v>
      </c>
      <c r="E18" s="168" t="s">
        <v>114</v>
      </c>
      <c r="F18" s="168" t="s">
        <v>114</v>
      </c>
    </row>
    <row r="19" spans="2:6" x14ac:dyDescent="0.3">
      <c r="B19" s="116" t="str">
        <f>'4. Infrastructure Cost'!C164</f>
        <v>Network egress (Default kbps per user)</v>
      </c>
      <c r="C19" s="240">
        <v>50</v>
      </c>
      <c r="D19" s="240">
        <v>100</v>
      </c>
      <c r="E19" s="240">
        <v>250</v>
      </c>
      <c r="F19" s="240">
        <v>1000</v>
      </c>
    </row>
    <row r="20" spans="2:6" x14ac:dyDescent="0.3">
      <c r="B20" s="116" t="s">
        <v>236</v>
      </c>
      <c r="C20" s="241">
        <v>0.2</v>
      </c>
      <c r="D20" s="241">
        <v>0.2</v>
      </c>
      <c r="E20" s="241">
        <v>0.2</v>
      </c>
      <c r="F20" s="241">
        <v>0.2</v>
      </c>
    </row>
    <row r="21" spans="2:6" x14ac:dyDescent="0.3">
      <c r="B21" s="116" t="s">
        <v>291</v>
      </c>
      <c r="C21" s="240">
        <v>500</v>
      </c>
      <c r="D21" s="240">
        <v>1000</v>
      </c>
      <c r="E21" s="240">
        <v>1500</v>
      </c>
      <c r="F21" s="240">
        <v>2500</v>
      </c>
    </row>
    <row r="22" spans="2:6" x14ac:dyDescent="0.3">
      <c r="B22" s="113"/>
      <c r="C22" s="113"/>
      <c r="D22" s="113"/>
      <c r="E22" s="113"/>
      <c r="F22" s="113"/>
    </row>
    <row r="23" spans="2:6" x14ac:dyDescent="0.3">
      <c r="B23" s="242" t="s">
        <v>211</v>
      </c>
      <c r="C23" s="242" t="s">
        <v>290</v>
      </c>
      <c r="D23" s="113"/>
      <c r="E23" s="113"/>
      <c r="F23" s="113"/>
    </row>
    <row r="24" spans="2:6" x14ac:dyDescent="0.3">
      <c r="B24" s="116" t="str">
        <f>Reference!T3</f>
        <v>Windows 7</v>
      </c>
      <c r="C24" s="85" t="str">
        <f>Reference!$I$4</f>
        <v>Single-session</v>
      </c>
      <c r="D24" s="113"/>
      <c r="E24" s="113"/>
      <c r="F24" s="113"/>
    </row>
    <row r="25" spans="2:6" x14ac:dyDescent="0.3">
      <c r="B25" s="116" t="str">
        <f>Reference!T4</f>
        <v>Windows 10</v>
      </c>
      <c r="C25" s="85" t="str">
        <f>Reference!$I$4</f>
        <v>Single-session</v>
      </c>
      <c r="D25" s="113"/>
      <c r="E25" s="113"/>
      <c r="F25" s="113"/>
    </row>
    <row r="26" spans="2:6" x14ac:dyDescent="0.3">
      <c r="B26" s="116" t="str">
        <f>Reference!T5</f>
        <v>Windows Server</v>
      </c>
      <c r="C26" s="85" t="str">
        <f>Reference!$I$3</f>
        <v>Multi-session</v>
      </c>
      <c r="D26" s="113"/>
      <c r="E26" s="113"/>
      <c r="F26" s="113"/>
    </row>
    <row r="27" spans="2:6" x14ac:dyDescent="0.3">
      <c r="B27" s="116" t="str">
        <f>Reference!T6</f>
        <v>Windows 10 multi-session</v>
      </c>
      <c r="C27" s="85" t="str">
        <f>Reference!$I$3</f>
        <v>Multi-session</v>
      </c>
      <c r="D27" s="113"/>
      <c r="E27" s="113"/>
      <c r="F27" s="113"/>
    </row>
  </sheetData>
  <sheetProtection sheet="1" objects="1" scenarios="1"/>
  <mergeCells count="1">
    <mergeCell ref="B5:F5"/>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2C457-4207-4C2F-B6DB-EB7423020D81}">
  <sheetPr codeName="Sheet8">
    <tabColor rgb="FF0070C0"/>
  </sheetPr>
  <dimension ref="B1:K17"/>
  <sheetViews>
    <sheetView showGridLines="0" zoomScale="85" zoomScaleNormal="85" workbookViewId="0"/>
  </sheetViews>
  <sheetFormatPr defaultColWidth="9" defaultRowHeight="16.5" x14ac:dyDescent="0.3"/>
  <cols>
    <col min="1" max="2" width="1.85546875" style="27" customWidth="1"/>
    <col min="3" max="3" width="55.85546875" style="27" customWidth="1"/>
    <col min="4" max="4" width="26.85546875" style="6" customWidth="1"/>
    <col min="5" max="8" width="26.85546875" style="27" customWidth="1"/>
    <col min="9" max="10" width="1.85546875" style="27" customWidth="1"/>
    <col min="11" max="11" width="25.28515625" style="27" customWidth="1"/>
    <col min="12" max="16384" width="9" style="27"/>
  </cols>
  <sheetData>
    <row r="1" spans="2:11" ht="35.1" customHeight="1" x14ac:dyDescent="0.3">
      <c r="B1" s="373" t="s">
        <v>550</v>
      </c>
      <c r="C1" s="373"/>
      <c r="D1" s="373"/>
      <c r="E1" s="373"/>
      <c r="F1" s="373"/>
      <c r="G1" s="373"/>
      <c r="H1" s="373"/>
      <c r="I1" s="373"/>
    </row>
    <row r="2" spans="2:11" ht="20.100000000000001" customHeight="1" x14ac:dyDescent="0.3">
      <c r="B2" s="374" t="e">
        <f ca="1">MID(CELL("filename",B1),FIND("]",CELL("filename",B1))+1,255)</f>
        <v>#VALUE!</v>
      </c>
      <c r="C2" s="374"/>
      <c r="D2" s="374"/>
      <c r="E2" s="374"/>
      <c r="F2" s="374"/>
      <c r="G2" s="374"/>
      <c r="H2" s="374"/>
      <c r="I2" s="374"/>
    </row>
    <row r="3" spans="2:11" ht="16.899999999999999" customHeight="1" x14ac:dyDescent="0.3">
      <c r="C3" s="26"/>
      <c r="D3" s="126"/>
      <c r="G3" s="127"/>
    </row>
    <row r="4" spans="2:11" x14ac:dyDescent="0.3">
      <c r="B4" s="40"/>
      <c r="C4" s="42" t="s">
        <v>518</v>
      </c>
      <c r="D4" s="194"/>
      <c r="E4" s="40"/>
      <c r="F4" s="40"/>
      <c r="G4" s="40"/>
      <c r="H4" s="40"/>
      <c r="I4" s="40"/>
      <c r="K4" s="197" t="s">
        <v>156</v>
      </c>
    </row>
    <row r="5" spans="2:11" ht="17.25" x14ac:dyDescent="0.3">
      <c r="B5" s="40"/>
      <c r="C5" s="45" t="s">
        <v>517</v>
      </c>
      <c r="D5" s="48" t="s">
        <v>126</v>
      </c>
      <c r="E5" s="48" t="s">
        <v>132</v>
      </c>
      <c r="F5" s="48" t="s">
        <v>133</v>
      </c>
      <c r="G5" s="48" t="s">
        <v>134</v>
      </c>
      <c r="H5" s="48" t="s">
        <v>135</v>
      </c>
      <c r="I5" s="40"/>
      <c r="K5" s="247" t="s">
        <v>284</v>
      </c>
    </row>
    <row r="6" spans="2:11" x14ac:dyDescent="0.3">
      <c r="B6" s="40"/>
      <c r="C6" s="195" t="s">
        <v>190</v>
      </c>
      <c r="D6" s="196">
        <f>SUM(D7:D13)</f>
        <v>2000000</v>
      </c>
      <c r="E6" s="196">
        <f t="shared" ref="E6:H6" si="0">SUM(E7:E13)</f>
        <v>2000000</v>
      </c>
      <c r="F6" s="196">
        <f t="shared" si="0"/>
        <v>0</v>
      </c>
      <c r="G6" s="196">
        <f t="shared" si="0"/>
        <v>0</v>
      </c>
      <c r="H6" s="196">
        <f t="shared" si="0"/>
        <v>0</v>
      </c>
      <c r="I6" s="40"/>
      <c r="K6" s="198" t="s">
        <v>288</v>
      </c>
    </row>
    <row r="7" spans="2:11" x14ac:dyDescent="0.3">
      <c r="B7" s="40"/>
      <c r="C7" s="47" t="s">
        <v>192</v>
      </c>
      <c r="D7" s="246">
        <v>1000000</v>
      </c>
      <c r="E7" s="246">
        <v>1000000</v>
      </c>
      <c r="F7" s="246"/>
      <c r="G7" s="246"/>
      <c r="H7" s="246"/>
      <c r="I7" s="40"/>
    </row>
    <row r="8" spans="2:11" x14ac:dyDescent="0.3">
      <c r="B8" s="40"/>
      <c r="C8" s="47" t="s">
        <v>234</v>
      </c>
      <c r="D8" s="246"/>
      <c r="E8" s="246"/>
      <c r="F8" s="246"/>
      <c r="G8" s="246"/>
      <c r="H8" s="246"/>
      <c r="I8" s="40"/>
    </row>
    <row r="9" spans="2:11" x14ac:dyDescent="0.3">
      <c r="B9" s="40"/>
      <c r="C9" s="47" t="s">
        <v>235</v>
      </c>
      <c r="D9" s="246"/>
      <c r="E9" s="246"/>
      <c r="F9" s="246"/>
      <c r="G9" s="246"/>
      <c r="H9" s="246"/>
      <c r="I9" s="40"/>
    </row>
    <row r="10" spans="2:11" x14ac:dyDescent="0.3">
      <c r="B10" s="40"/>
      <c r="C10" s="47" t="s">
        <v>240</v>
      </c>
      <c r="D10" s="246"/>
      <c r="E10" s="246"/>
      <c r="F10" s="246"/>
      <c r="G10" s="246"/>
      <c r="H10" s="246"/>
      <c r="I10" s="40"/>
    </row>
    <row r="11" spans="2:11" x14ac:dyDescent="0.3">
      <c r="B11" s="40"/>
      <c r="C11" s="47" t="s">
        <v>400</v>
      </c>
      <c r="D11" s="246"/>
      <c r="E11" s="246"/>
      <c r="F11" s="246"/>
      <c r="G11" s="246"/>
      <c r="H11" s="246"/>
      <c r="I11" s="40"/>
    </row>
    <row r="12" spans="2:11" x14ac:dyDescent="0.3">
      <c r="B12" s="40"/>
      <c r="C12" s="47" t="s">
        <v>399</v>
      </c>
      <c r="D12" s="246"/>
      <c r="E12" s="246"/>
      <c r="F12" s="246"/>
      <c r="G12" s="246"/>
      <c r="H12" s="246"/>
      <c r="I12" s="40"/>
    </row>
    <row r="13" spans="2:11" x14ac:dyDescent="0.3">
      <c r="B13" s="40"/>
      <c r="C13" s="47" t="s">
        <v>122</v>
      </c>
      <c r="D13" s="246">
        <v>1000000</v>
      </c>
      <c r="E13" s="246">
        <v>1000000</v>
      </c>
      <c r="F13" s="246"/>
      <c r="G13" s="246"/>
      <c r="H13" s="246"/>
      <c r="I13" s="40"/>
    </row>
    <row r="14" spans="2:11" x14ac:dyDescent="0.3">
      <c r="B14" s="40"/>
      <c r="C14" s="195" t="s">
        <v>191</v>
      </c>
      <c r="D14" s="196">
        <f>SUM(D15:D16)</f>
        <v>120</v>
      </c>
      <c r="E14" s="196">
        <f t="shared" ref="E14:H14" si="1">SUM(E15:E16)</f>
        <v>120</v>
      </c>
      <c r="F14" s="196">
        <f t="shared" si="1"/>
        <v>0</v>
      </c>
      <c r="G14" s="196">
        <f t="shared" si="1"/>
        <v>0</v>
      </c>
      <c r="H14" s="196">
        <f t="shared" si="1"/>
        <v>0</v>
      </c>
      <c r="I14" s="40"/>
    </row>
    <row r="15" spans="2:11" x14ac:dyDescent="0.3">
      <c r="B15" s="40"/>
      <c r="C15" s="47" t="s">
        <v>365</v>
      </c>
      <c r="D15" s="246">
        <f>10*12</f>
        <v>120</v>
      </c>
      <c r="E15" s="246">
        <f t="shared" ref="E15" si="2">10*12</f>
        <v>120</v>
      </c>
      <c r="F15" s="246"/>
      <c r="G15" s="246"/>
      <c r="H15" s="246"/>
      <c r="I15" s="40"/>
    </row>
    <row r="16" spans="2:11" x14ac:dyDescent="0.3">
      <c r="B16" s="40"/>
      <c r="C16" s="47" t="s">
        <v>122</v>
      </c>
      <c r="D16" s="246">
        <v>0</v>
      </c>
      <c r="E16" s="246">
        <v>0</v>
      </c>
      <c r="F16" s="246"/>
      <c r="G16" s="246"/>
      <c r="H16" s="246"/>
      <c r="I16" s="40"/>
    </row>
    <row r="17" spans="2:9" x14ac:dyDescent="0.3">
      <c r="B17" s="40"/>
      <c r="C17" s="152"/>
      <c r="D17" s="194"/>
      <c r="E17" s="40"/>
      <c r="F17" s="40"/>
      <c r="G17" s="40"/>
      <c r="H17" s="40"/>
      <c r="I17" s="40"/>
    </row>
  </sheetData>
  <mergeCells count="2">
    <mergeCell ref="B1:I1"/>
    <mergeCell ref="B2:I2"/>
  </mergeCell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A03EBD10-ED5F-467D-8A9A-D5BD1A1C556A}">
            <xm:f>Currency=Reference!$G$11</xm:f>
            <x14:dxf>
              <numFmt numFmtId="185" formatCode="[$DKK]\ #,##0_);[Red]\([$DKK]\ #,##0\)"/>
            </x14:dxf>
          </x14:cfRule>
          <x14:cfRule type="expression" priority="2" id="{A7A7C203-F657-4591-943A-14400D3C6070}">
            <xm:f>Currency=Reference!$G$10</xm:f>
            <x14:dxf>
              <numFmt numFmtId="184" formatCode="[$JPY]\ #,##0_);[Red]\([$JPY]\ #,##0\)"/>
            </x14:dxf>
          </x14:cfRule>
          <x14:cfRule type="expression" priority="3" id="{38018C78-21A7-4399-B928-41E851FD0457}">
            <xm:f>Currency=Reference!$G$9</xm:f>
            <x14:dxf>
              <numFmt numFmtId="183" formatCode="[$CAD]\ #,##0_);[Red]\([$CAD]\ #,##0\)"/>
            </x14:dxf>
          </x14:cfRule>
          <x14:cfRule type="expression" priority="4" id="{42B5BA35-167F-481C-9627-4035640BAF1B}">
            <xm:f>Currency=Reference!$G$8</xm:f>
            <x14:dxf>
              <numFmt numFmtId="182" formatCode="[$HKD]\ #,##0_);[Red]\([$HKD]\ #,##0\)"/>
            </x14:dxf>
          </x14:cfRule>
          <x14:cfRule type="expression" priority="5" id="{E0189B91-9074-430B-9416-4EC7CBA4A895}">
            <xm:f>Currency=Reference!$G$6</xm:f>
            <x14:dxf>
              <numFmt numFmtId="181" formatCode="[$GBP]\ #,##0_);[Red]\([$GBP]\ #,##0\)"/>
            </x14:dxf>
          </x14:cfRule>
          <x14:cfRule type="expression" priority="6" id="{4228563F-07A7-4120-BAF2-A49D40B00A02}">
            <xm:f>Currency=Reference!$G$5</xm:f>
            <x14:dxf>
              <numFmt numFmtId="180" formatCode="[$EUR]\ #,##0_);[Red]\([$EUR]\ #,##0\)"/>
            </x14:dxf>
          </x14:cfRule>
          <x14:cfRule type="expression" priority="7" id="{FAADD9A9-DA94-4FD0-BFD0-6DC3D7B9EFC8}">
            <xm:f>Currency=Reference!$G$4</xm:f>
            <x14:dxf>
              <numFmt numFmtId="179" formatCode="[$AUD]\ #,##0_);[Red]\([$AUD]\ #,##0\)"/>
            </x14:dxf>
          </x14:cfRule>
          <x14:cfRule type="expression" priority="8" id="{B1BD07EA-349A-4365-B187-3B7303BAAFD7}">
            <xm:f>Currency=Reference!$G$3</xm:f>
            <x14:dxf>
              <numFmt numFmtId="178" formatCode="[$NZD]\ #,##0_);[Red]\([$NZD]\ #,##0\)"/>
            </x14:dxf>
          </x14:cfRule>
          <xm:sqref>D6:H16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FC20A-CC18-4AFB-BDBC-F48C87322C38}">
  <sheetPr codeName="Sheet3">
    <tabColor rgb="FF002060"/>
  </sheetPr>
  <dimension ref="B1:O146"/>
  <sheetViews>
    <sheetView showGridLines="0" zoomScale="85" zoomScaleNormal="85" workbookViewId="0"/>
  </sheetViews>
  <sheetFormatPr defaultColWidth="9" defaultRowHeight="16.5" outlineLevelRow="1" x14ac:dyDescent="0.3"/>
  <cols>
    <col min="1" max="2" width="1.85546875" style="27" customWidth="1"/>
    <col min="3" max="3" width="55.85546875" style="27" customWidth="1"/>
    <col min="4" max="9" width="26.85546875" style="27" customWidth="1"/>
    <col min="10" max="10" width="1.85546875" style="27" customWidth="1"/>
    <col min="11" max="11" width="1.85546875" style="32" customWidth="1"/>
    <col min="12" max="12" width="32" style="27" customWidth="1"/>
    <col min="13" max="16384" width="9" style="27"/>
  </cols>
  <sheetData>
    <row r="1" spans="2:15" ht="35.1" customHeight="1" x14ac:dyDescent="0.3">
      <c r="B1" s="373" t="s">
        <v>550</v>
      </c>
      <c r="C1" s="373"/>
      <c r="D1" s="373"/>
      <c r="E1" s="373"/>
      <c r="F1" s="373"/>
      <c r="G1" s="373"/>
      <c r="H1" s="373"/>
      <c r="I1" s="373"/>
      <c r="J1" s="373"/>
      <c r="K1" s="117"/>
    </row>
    <row r="2" spans="2:15" ht="20.100000000000001" customHeight="1" x14ac:dyDescent="0.3">
      <c r="B2" s="374" t="e">
        <f ca="1">MID(CELL("filename",B1),FIND("]",CELL("filename",B1))+1,255)</f>
        <v>#VALUE!</v>
      </c>
      <c r="C2" s="374"/>
      <c r="D2" s="374"/>
      <c r="E2" s="374"/>
      <c r="F2" s="374"/>
      <c r="G2" s="374"/>
      <c r="H2" s="374"/>
      <c r="I2" s="374"/>
      <c r="J2" s="374"/>
      <c r="K2" s="118"/>
    </row>
    <row r="3" spans="2:15" ht="16.899999999999999" customHeight="1" x14ac:dyDescent="0.3"/>
    <row r="4" spans="2:15" ht="20.25" x14ac:dyDescent="0.3">
      <c r="B4" s="28"/>
      <c r="C4" s="30" t="s">
        <v>253</v>
      </c>
      <c r="D4" s="28"/>
      <c r="E4" s="28"/>
      <c r="F4" s="28"/>
      <c r="G4" s="28"/>
      <c r="H4" s="28"/>
      <c r="I4" s="28"/>
      <c r="J4" s="28"/>
      <c r="K4" s="33"/>
      <c r="L4" s="112" t="s">
        <v>156</v>
      </c>
      <c r="O4" s="143" t="str">
        <f>"Total Desktop Cost Analysis ("&amp;Currency&amp;" Cost / Month)"</f>
        <v>Total Desktop Cost Analysis (USD Cost / Month)</v>
      </c>
    </row>
    <row r="5" spans="2:15" x14ac:dyDescent="0.3">
      <c r="B5" s="28"/>
      <c r="C5" s="28"/>
      <c r="D5" s="29"/>
      <c r="E5" s="28"/>
      <c r="F5" s="28"/>
      <c r="G5" s="28"/>
      <c r="H5" s="28"/>
      <c r="I5" s="28"/>
      <c r="J5" s="28"/>
      <c r="K5" s="33"/>
      <c r="L5" s="84" t="s">
        <v>288</v>
      </c>
      <c r="O5" s="143" t="str">
        <f>"Total Desktop Cost Analysis ("&amp;Currency&amp;" Cost / User / Month)"</f>
        <v>Total Desktop Cost Analysis (USD Cost / User / Month)</v>
      </c>
    </row>
    <row r="6" spans="2:15" ht="17.25" x14ac:dyDescent="0.3">
      <c r="B6" s="28"/>
      <c r="C6" s="28"/>
      <c r="D6" s="48" t="s">
        <v>126</v>
      </c>
      <c r="E6" s="48" t="s">
        <v>132</v>
      </c>
      <c r="F6" s="48" t="s">
        <v>133</v>
      </c>
      <c r="G6" s="48" t="s">
        <v>134</v>
      </c>
      <c r="H6" s="48" t="s">
        <v>135</v>
      </c>
      <c r="I6" s="48" t="s">
        <v>408</v>
      </c>
      <c r="J6" s="28"/>
      <c r="K6" s="33"/>
      <c r="L6" s="85" t="s">
        <v>158</v>
      </c>
    </row>
    <row r="7" spans="2:15" x14ac:dyDescent="0.3">
      <c r="B7" s="28"/>
      <c r="C7" s="302" t="str">
        <f>'1. Opportunity Profile'!C20</f>
        <v>Named (total) users</v>
      </c>
      <c r="D7" s="303">
        <f>'1. Opportunity Profile'!D20</f>
        <v>500</v>
      </c>
      <c r="E7" s="303">
        <f>'1. Opportunity Profile'!E20</f>
        <v>150</v>
      </c>
      <c r="F7" s="303">
        <f>'1. Opportunity Profile'!F20</f>
        <v>350</v>
      </c>
      <c r="G7" s="303">
        <f>'1. Opportunity Profile'!G20</f>
        <v>350</v>
      </c>
      <c r="H7" s="303">
        <f>'1. Opportunity Profile'!H20</f>
        <v>0</v>
      </c>
      <c r="I7" s="202">
        <f>SUM(D7:H7)</f>
        <v>1350</v>
      </c>
      <c r="J7" s="28"/>
      <c r="K7" s="33"/>
      <c r="L7" s="245" t="s">
        <v>284</v>
      </c>
    </row>
    <row r="8" spans="2:15" x14ac:dyDescent="0.3">
      <c r="B8" s="28"/>
      <c r="C8" s="304" t="s">
        <v>212</v>
      </c>
      <c r="D8" s="305" t="str">
        <f>'1. Opportunity Profile'!D19</f>
        <v>Light</v>
      </c>
      <c r="E8" s="305" t="str">
        <f>'1. Opportunity Profile'!E19</f>
        <v>Heavy</v>
      </c>
      <c r="F8" s="305" t="str">
        <f>'1. Opportunity Profile'!F19</f>
        <v>Medium</v>
      </c>
      <c r="G8" s="305" t="str">
        <f>'1. Opportunity Profile'!G19</f>
        <v>Medium</v>
      </c>
      <c r="H8" s="305">
        <f>'1. Opportunity Profile'!H19</f>
        <v>0</v>
      </c>
      <c r="I8" s="28"/>
      <c r="J8" s="28"/>
      <c r="K8" s="33"/>
      <c r="L8" s="33"/>
    </row>
    <row r="9" spans="2:15" x14ac:dyDescent="0.3">
      <c r="B9" s="28"/>
      <c r="C9" s="28"/>
      <c r="D9" s="28"/>
      <c r="E9" s="28"/>
      <c r="F9" s="28"/>
      <c r="G9" s="28"/>
      <c r="H9" s="28"/>
      <c r="I9" s="28"/>
      <c r="J9" s="28"/>
      <c r="K9" s="33"/>
    </row>
    <row r="10" spans="2:15" ht="17.25" x14ac:dyDescent="0.3">
      <c r="B10" s="28"/>
      <c r="C10" s="199" t="s">
        <v>276</v>
      </c>
      <c r="D10" s="200"/>
      <c r="E10" s="200"/>
      <c r="F10" s="200"/>
      <c r="G10" s="200"/>
      <c r="H10" s="200"/>
      <c r="I10" s="200"/>
      <c r="J10" s="28"/>
      <c r="K10" s="33"/>
    </row>
    <row r="11" spans="2:15" x14ac:dyDescent="0.3">
      <c r="B11" s="28"/>
      <c r="C11" s="47" t="s">
        <v>7</v>
      </c>
      <c r="D11" s="133" t="str">
        <f>IF('1. Opportunity Profile'!D13&lt;&gt;"",'1. Opportunity Profile'!D13,"")</f>
        <v>Windows 7</v>
      </c>
      <c r="E11" s="133" t="str">
        <f>IF('1. Opportunity Profile'!E13&lt;&gt;"",'1. Opportunity Profile'!E13,"")</f>
        <v>Windows Server</v>
      </c>
      <c r="F11" s="133" t="str">
        <f>IF('1. Opportunity Profile'!F13&lt;&gt;"",'1. Opportunity Profile'!F13,"")</f>
        <v>Windows Server</v>
      </c>
      <c r="G11" s="133" t="str">
        <f>IF('1. Opportunity Profile'!G13&lt;&gt;"",'1. Opportunity Profile'!G13,"")</f>
        <v>Windows 10</v>
      </c>
      <c r="H11" s="133" t="str">
        <f>IF('1. Opportunity Profile'!H13&lt;&gt;"",'1. Opportunity Profile'!H13,"")</f>
        <v/>
      </c>
      <c r="I11" s="28"/>
      <c r="J11" s="28"/>
      <c r="K11" s="33"/>
    </row>
    <row r="12" spans="2:15" x14ac:dyDescent="0.3">
      <c r="B12" s="28"/>
      <c r="C12" s="47" t="s">
        <v>8</v>
      </c>
      <c r="D12" s="133" t="str">
        <f>IF('1. Opportunity Profile'!D14&lt;&gt;"",'1. Opportunity Profile'!D14,"")</f>
        <v>Physical</v>
      </c>
      <c r="E12" s="133" t="str">
        <f>IF('1. Opportunity Profile'!E14&lt;&gt;"",'1. Opportunity Profile'!E14,"")</f>
        <v>RDS on-prem</v>
      </c>
      <c r="F12" s="133" t="str">
        <f>IF('1. Opportunity Profile'!F14&lt;&gt;"",'1. Opportunity Profile'!F14,"")</f>
        <v>RDS on-prem</v>
      </c>
      <c r="G12" s="133" t="str">
        <f>IF('1. Opportunity Profile'!G14&lt;&gt;"",'1. Opportunity Profile'!G14,"")</f>
        <v>Virtualized - Citrix</v>
      </c>
      <c r="H12" s="133" t="str">
        <f>IF('1. Opportunity Profile'!H14&lt;&gt;"",'1. Opportunity Profile'!H14,"")</f>
        <v/>
      </c>
      <c r="I12" s="28"/>
      <c r="J12" s="28"/>
      <c r="K12" s="33"/>
    </row>
    <row r="13" spans="2:15" x14ac:dyDescent="0.3">
      <c r="B13" s="28"/>
      <c r="C13" s="51" t="s">
        <v>423</v>
      </c>
      <c r="D13" s="66">
        <f>SUM(D14:D18)</f>
        <v>0</v>
      </c>
      <c r="E13" s="66">
        <f t="shared" ref="E13:H13" si="0">SUM(E14:E18)</f>
        <v>0</v>
      </c>
      <c r="F13" s="66">
        <f t="shared" si="0"/>
        <v>0</v>
      </c>
      <c r="G13" s="66">
        <f t="shared" si="0"/>
        <v>0</v>
      </c>
      <c r="H13" s="66">
        <f t="shared" si="0"/>
        <v>0</v>
      </c>
      <c r="I13" s="66">
        <f>SUM(D13:H13)</f>
        <v>0</v>
      </c>
      <c r="J13" s="28"/>
      <c r="K13" s="33"/>
    </row>
    <row r="14" spans="2:15" x14ac:dyDescent="0.3">
      <c r="B14" s="28"/>
      <c r="C14" s="203" t="s">
        <v>446</v>
      </c>
      <c r="D14" s="249">
        <f>IF('1. Opportunity Profile'!D$64&gt;0,'1. Opportunity Profile'!D58/'1. Opportunity Profile'!D$64/12,0)</f>
        <v>0</v>
      </c>
      <c r="E14" s="249">
        <f>IF('1. Opportunity Profile'!E$64&gt;0,'1. Opportunity Profile'!E58/'1. Opportunity Profile'!E$64/12,0)</f>
        <v>0</v>
      </c>
      <c r="F14" s="249">
        <f>IF('1. Opportunity Profile'!F$64&gt;0,'1. Opportunity Profile'!F58/'1. Opportunity Profile'!F$64/12,0)</f>
        <v>0</v>
      </c>
      <c r="G14" s="249">
        <f>IF('1. Opportunity Profile'!G$64&gt;0,'1. Opportunity Profile'!G58/'1. Opportunity Profile'!G$64/12,0)</f>
        <v>0</v>
      </c>
      <c r="H14" s="249">
        <f>IF('1. Opportunity Profile'!H$64&gt;0,'1. Opportunity Profile'!H58/'1. Opportunity Profile'!H$64/12,0)</f>
        <v>0</v>
      </c>
      <c r="I14" s="66">
        <f t="shared" ref="I14:I18" si="1">SUM(D14:H14)</f>
        <v>0</v>
      </c>
      <c r="J14" s="28"/>
      <c r="K14" s="33"/>
    </row>
    <row r="15" spans="2:15" x14ac:dyDescent="0.3">
      <c r="B15" s="28"/>
      <c r="C15" s="203" t="s">
        <v>3</v>
      </c>
      <c r="D15" s="249">
        <f>IF('1. Opportunity Profile'!D$64&gt;0,'1. Opportunity Profile'!D59/'1. Opportunity Profile'!D$64/12,0)</f>
        <v>0</v>
      </c>
      <c r="E15" s="249">
        <f>IF('1. Opportunity Profile'!E$64&gt;0,'1. Opportunity Profile'!E59/'1. Opportunity Profile'!E$64/12,0)</f>
        <v>0</v>
      </c>
      <c r="F15" s="249">
        <f>IF('1. Opportunity Profile'!F$64&gt;0,'1. Opportunity Profile'!F59/'1. Opportunity Profile'!F$64/12,0)</f>
        <v>0</v>
      </c>
      <c r="G15" s="249">
        <f>IF('1. Opportunity Profile'!G$64&gt;0,'1. Opportunity Profile'!G59/'1. Opportunity Profile'!G$64/12,0)</f>
        <v>0</v>
      </c>
      <c r="H15" s="249">
        <f>IF('1. Opportunity Profile'!H$64&gt;0,'1. Opportunity Profile'!H59/'1. Opportunity Profile'!H$64/12,0)</f>
        <v>0</v>
      </c>
      <c r="I15" s="66">
        <f t="shared" si="1"/>
        <v>0</v>
      </c>
      <c r="J15" s="28"/>
      <c r="K15" s="33"/>
    </row>
    <row r="16" spans="2:15" x14ac:dyDescent="0.3">
      <c r="B16" s="28"/>
      <c r="C16" s="203" t="s">
        <v>225</v>
      </c>
      <c r="D16" s="249">
        <f>IF('1. Opportunity Profile'!D$64&gt;0,'1. Opportunity Profile'!D60/'1. Opportunity Profile'!D$64/12,0)</f>
        <v>0</v>
      </c>
      <c r="E16" s="249">
        <f>IF('1. Opportunity Profile'!E$64&gt;0,'1. Opportunity Profile'!E60/'1. Opportunity Profile'!E$64/12,0)</f>
        <v>0</v>
      </c>
      <c r="F16" s="249">
        <f>IF('1. Opportunity Profile'!F$64&gt;0,'1. Opportunity Profile'!F60/'1. Opportunity Profile'!F$64/12,0)</f>
        <v>0</v>
      </c>
      <c r="G16" s="249">
        <f>IF('1. Opportunity Profile'!G$64&gt;0,'1. Opportunity Profile'!G60/'1. Opportunity Profile'!G$64/12,0)</f>
        <v>0</v>
      </c>
      <c r="H16" s="249">
        <f>IF('1. Opportunity Profile'!H$64&gt;0,'1. Opportunity Profile'!H60/'1. Opportunity Profile'!H$64/12,0)</f>
        <v>0</v>
      </c>
      <c r="I16" s="66">
        <f t="shared" si="1"/>
        <v>0</v>
      </c>
      <c r="J16" s="28"/>
      <c r="K16" s="33"/>
    </row>
    <row r="17" spans="2:11" x14ac:dyDescent="0.3">
      <c r="B17" s="28"/>
      <c r="C17" s="203" t="s">
        <v>193</v>
      </c>
      <c r="D17" s="249">
        <f>IF('1. Opportunity Profile'!D$64&gt;0,'1. Opportunity Profile'!D61/'1. Opportunity Profile'!D$64/12,0)</f>
        <v>0</v>
      </c>
      <c r="E17" s="249">
        <f>IF('1. Opportunity Profile'!E$64&gt;0,'1. Opportunity Profile'!E61/'1. Opportunity Profile'!E$64/12,0)</f>
        <v>0</v>
      </c>
      <c r="F17" s="249">
        <f>IF('1. Opportunity Profile'!F$64&gt;0,'1. Opportunity Profile'!F61/'1. Opportunity Profile'!F$64/12,0)</f>
        <v>0</v>
      </c>
      <c r="G17" s="249">
        <f>IF('1. Opportunity Profile'!G$64&gt;0,'1. Opportunity Profile'!G61/'1. Opportunity Profile'!G$64/12,0)</f>
        <v>0</v>
      </c>
      <c r="H17" s="249">
        <f>IF('1. Opportunity Profile'!H$64&gt;0,'1. Opportunity Profile'!H61/'1. Opportunity Profile'!H$64/12,0)</f>
        <v>0</v>
      </c>
      <c r="I17" s="66">
        <f t="shared" si="1"/>
        <v>0</v>
      </c>
      <c r="J17" s="28"/>
      <c r="K17" s="33"/>
    </row>
    <row r="18" spans="2:11" x14ac:dyDescent="0.3">
      <c r="B18" s="28"/>
      <c r="C18" s="203" t="s">
        <v>546</v>
      </c>
      <c r="D18" s="249">
        <f>IF('1. Opportunity Profile'!D$64&gt;0,'1. Opportunity Profile'!D62/'1. Opportunity Profile'!D$64/12,0)</f>
        <v>0</v>
      </c>
      <c r="E18" s="249">
        <f>IF('1. Opportunity Profile'!E$64&gt;0,'1. Opportunity Profile'!E62/'1. Opportunity Profile'!E$64/12,0)</f>
        <v>0</v>
      </c>
      <c r="F18" s="249">
        <f>IF('1. Opportunity Profile'!F$64&gt;0,'1. Opportunity Profile'!F62/'1. Opportunity Profile'!F$64/12,0)</f>
        <v>0</v>
      </c>
      <c r="G18" s="249">
        <f>IF('1. Opportunity Profile'!G$64&gt;0,'1. Opportunity Profile'!G62/'1. Opportunity Profile'!G$64/12,0)</f>
        <v>0</v>
      </c>
      <c r="H18" s="249">
        <f>IF('1. Opportunity Profile'!H$64&gt;0,'1. Opportunity Profile'!H62/'1. Opportunity Profile'!H$64/12,0)</f>
        <v>0</v>
      </c>
      <c r="I18" s="66">
        <f t="shared" si="1"/>
        <v>0</v>
      </c>
      <c r="J18" s="28"/>
      <c r="K18" s="33"/>
    </row>
    <row r="19" spans="2:11" x14ac:dyDescent="0.3">
      <c r="B19" s="28"/>
      <c r="C19" s="51" t="s">
        <v>317</v>
      </c>
      <c r="D19" s="66">
        <f>IF(D7&lt;&gt;0,D13/D7,0)</f>
        <v>0</v>
      </c>
      <c r="E19" s="66">
        <f t="shared" ref="E19:H19" si="2">IF(E7&lt;&gt;0,E13/E7,0)</f>
        <v>0</v>
      </c>
      <c r="F19" s="66">
        <f t="shared" si="2"/>
        <v>0</v>
      </c>
      <c r="G19" s="66">
        <f t="shared" si="2"/>
        <v>0</v>
      </c>
      <c r="H19" s="66">
        <f t="shared" si="2"/>
        <v>0</v>
      </c>
      <c r="I19" s="66">
        <f>IF(I$7&lt;&gt;0,SUM(I13:I18)/I$7,0)</f>
        <v>0</v>
      </c>
      <c r="J19" s="28"/>
      <c r="K19" s="33"/>
    </row>
    <row r="20" spans="2:11" x14ac:dyDescent="0.3">
      <c r="B20" s="28"/>
      <c r="C20" s="51" t="s">
        <v>396</v>
      </c>
      <c r="D20" s="66">
        <f>SUM('2. Desktop License Cost'!D66)</f>
        <v>0</v>
      </c>
      <c r="E20" s="66">
        <f>SUM('2. Desktop License Cost'!E66)</f>
        <v>2500</v>
      </c>
      <c r="F20" s="66">
        <f>SUM('2. Desktop License Cost'!F66)</f>
        <v>6950</v>
      </c>
      <c r="G20" s="66">
        <f>SUM('2. Desktop License Cost'!G66)</f>
        <v>2450</v>
      </c>
      <c r="H20" s="66">
        <f>SUM('2. Desktop License Cost'!H66)</f>
        <v>0</v>
      </c>
      <c r="I20" s="66">
        <f t="shared" ref="I20:I24" si="3">SUM(D20:H20)</f>
        <v>11900</v>
      </c>
      <c r="J20" s="28"/>
      <c r="K20" s="33"/>
    </row>
    <row r="21" spans="2:11" x14ac:dyDescent="0.3">
      <c r="B21" s="28"/>
      <c r="C21" s="51" t="s">
        <v>397</v>
      </c>
      <c r="D21" s="66">
        <f>SUM('3. WVD Management Cost'!D12)</f>
        <v>0</v>
      </c>
      <c r="E21" s="66">
        <f>SUM('3. WVD Management Cost'!E12)</f>
        <v>0</v>
      </c>
      <c r="F21" s="66">
        <f>SUM('3. WVD Management Cost'!F12)</f>
        <v>0</v>
      </c>
      <c r="G21" s="66">
        <f>SUM('3. WVD Management Cost'!G12)</f>
        <v>5000</v>
      </c>
      <c r="H21" s="66">
        <f>SUM('3. WVD Management Cost'!H12)</f>
        <v>0</v>
      </c>
      <c r="I21" s="66">
        <f t="shared" si="3"/>
        <v>5000</v>
      </c>
      <c r="J21" s="28"/>
      <c r="K21" s="33"/>
    </row>
    <row r="22" spans="2:11" x14ac:dyDescent="0.3">
      <c r="B22" s="28"/>
      <c r="C22" s="51" t="s">
        <v>394</v>
      </c>
      <c r="D22" s="66">
        <f>'1. Opportunity Profile'!D71</f>
        <v>0</v>
      </c>
      <c r="E22" s="66">
        <f>'1. Opportunity Profile'!E71</f>
        <v>0</v>
      </c>
      <c r="F22" s="66">
        <f>'1. Opportunity Profile'!F71</f>
        <v>0</v>
      </c>
      <c r="G22" s="66">
        <f>'1. Opportunity Profile'!G71</f>
        <v>0</v>
      </c>
      <c r="H22" s="66">
        <f>'1. Opportunity Profile'!H71</f>
        <v>0</v>
      </c>
      <c r="I22" s="66">
        <f t="shared" si="3"/>
        <v>0</v>
      </c>
      <c r="J22" s="28"/>
      <c r="K22" s="33"/>
    </row>
    <row r="23" spans="2:11" x14ac:dyDescent="0.3">
      <c r="B23" s="28"/>
      <c r="C23" s="51" t="s">
        <v>395</v>
      </c>
      <c r="D23" s="66">
        <f>'1. Opportunity Profile'!D77</f>
        <v>0</v>
      </c>
      <c r="E23" s="66">
        <f>'1. Opportunity Profile'!E77</f>
        <v>0</v>
      </c>
      <c r="F23" s="66">
        <f>'1. Opportunity Profile'!F77</f>
        <v>0</v>
      </c>
      <c r="G23" s="66">
        <f>'1. Opportunity Profile'!G77</f>
        <v>0</v>
      </c>
      <c r="H23" s="66">
        <f>'1. Opportunity Profile'!H77</f>
        <v>0</v>
      </c>
      <c r="I23" s="66">
        <f t="shared" si="3"/>
        <v>0</v>
      </c>
      <c r="J23" s="28"/>
      <c r="K23" s="33"/>
    </row>
    <row r="24" spans="2:11" x14ac:dyDescent="0.3">
      <c r="B24" s="28"/>
      <c r="C24" s="135" t="s">
        <v>250</v>
      </c>
      <c r="D24" s="66">
        <f>SUM(D13,D20,D21,D22,D23)</f>
        <v>0</v>
      </c>
      <c r="E24" s="66">
        <f t="shared" ref="E24:H24" si="4">SUM(E13,E20,E21,E22,E23)</f>
        <v>2500</v>
      </c>
      <c r="F24" s="66">
        <f t="shared" si="4"/>
        <v>6950</v>
      </c>
      <c r="G24" s="66">
        <f t="shared" si="4"/>
        <v>7450</v>
      </c>
      <c r="H24" s="66">
        <f t="shared" si="4"/>
        <v>0</v>
      </c>
      <c r="I24" s="66">
        <f t="shared" si="3"/>
        <v>16900</v>
      </c>
      <c r="J24" s="28"/>
      <c r="K24" s="33"/>
    </row>
    <row r="25" spans="2:11" x14ac:dyDescent="0.3">
      <c r="B25" s="28"/>
      <c r="C25" s="135" t="s">
        <v>251</v>
      </c>
      <c r="D25" s="66">
        <f>IF(D$7&gt;0,D24/D$7,0)</f>
        <v>0</v>
      </c>
      <c r="E25" s="66">
        <f t="shared" ref="E25:I25" si="5">IF(E$7&gt;0,E24/E$7,0)</f>
        <v>16.666666666666668</v>
      </c>
      <c r="F25" s="66">
        <f t="shared" si="5"/>
        <v>19.857142857142858</v>
      </c>
      <c r="G25" s="66">
        <f t="shared" si="5"/>
        <v>21.285714285714285</v>
      </c>
      <c r="H25" s="66">
        <f t="shared" si="5"/>
        <v>0</v>
      </c>
      <c r="I25" s="66">
        <f t="shared" si="5"/>
        <v>12.518518518518519</v>
      </c>
      <c r="J25" s="28"/>
      <c r="K25" s="33"/>
    </row>
    <row r="26" spans="2:11" x14ac:dyDescent="0.3">
      <c r="B26" s="28"/>
      <c r="C26" s="28"/>
      <c r="D26" s="28"/>
      <c r="E26" s="28"/>
      <c r="F26" s="28"/>
      <c r="G26" s="28"/>
      <c r="H26" s="28"/>
      <c r="I26" s="28"/>
      <c r="J26" s="28"/>
      <c r="K26" s="33"/>
    </row>
    <row r="27" spans="2:11" ht="17.25" x14ac:dyDescent="0.3">
      <c r="B27" s="28"/>
      <c r="C27" s="199" t="s">
        <v>493</v>
      </c>
      <c r="D27" s="296"/>
      <c r="E27" s="200"/>
      <c r="F27" s="200"/>
      <c r="G27" s="200"/>
      <c r="H27" s="200"/>
      <c r="I27" s="200"/>
      <c r="J27" s="28"/>
      <c r="K27" s="33"/>
    </row>
    <row r="28" spans="2:11" x14ac:dyDescent="0.3">
      <c r="B28" s="28"/>
      <c r="C28" s="47" t="s">
        <v>129</v>
      </c>
      <c r="D28" s="133" t="str">
        <f>IF('1. Opportunity Profile'!D16&lt;&gt;"",'1. Opportunity Profile'!D16,"")</f>
        <v>Windows 10 multi-session</v>
      </c>
      <c r="E28" s="133" t="str">
        <f>IF('1. Opportunity Profile'!E16&lt;&gt;"",'1. Opportunity Profile'!E16,"")</f>
        <v>Windows Server</v>
      </c>
      <c r="F28" s="133" t="str">
        <f>IF('1. Opportunity Profile'!F16&lt;&gt;"",'1. Opportunity Profile'!F16,"")</f>
        <v>Windows 10 multi-session</v>
      </c>
      <c r="G28" s="133" t="str">
        <f>IF('1. Opportunity Profile'!G16&lt;&gt;"",'1. Opportunity Profile'!G16,"")</f>
        <v>Windows 10</v>
      </c>
      <c r="H28" s="133" t="str">
        <f>IF('1. Opportunity Profile'!H16&lt;&gt;"",'1. Opportunity Profile'!H16,"")</f>
        <v/>
      </c>
      <c r="I28" s="28"/>
      <c r="J28" s="28"/>
      <c r="K28" s="33"/>
    </row>
    <row r="29" spans="2:11" x14ac:dyDescent="0.3">
      <c r="B29" s="28"/>
      <c r="C29" s="51" t="s">
        <v>423</v>
      </c>
      <c r="D29" s="66" t="e">
        <f ca="1">SUM(D30:D34)</f>
        <v>#NAME?</v>
      </c>
      <c r="E29" s="66" t="e">
        <f t="shared" ref="E29:H29" ca="1" si="6">SUM(E30:E34)</f>
        <v>#NAME?</v>
      </c>
      <c r="F29" s="66" t="e">
        <f t="shared" ca="1" si="6"/>
        <v>#NAME?</v>
      </c>
      <c r="G29" s="66" t="e">
        <f t="shared" ca="1" si="6"/>
        <v>#NAME?</v>
      </c>
      <c r="H29" s="66">
        <f t="shared" si="6"/>
        <v>0</v>
      </c>
      <c r="I29" s="66" t="e">
        <f ca="1">SUM(D29:H29)</f>
        <v>#NAME?</v>
      </c>
      <c r="J29" s="28"/>
      <c r="K29" s="33"/>
    </row>
    <row r="30" spans="2:11" x14ac:dyDescent="0.3">
      <c r="B30" s="28"/>
      <c r="C30" s="203" t="s">
        <v>446</v>
      </c>
      <c r="D30" s="249" t="e">
        <f ca="1">'4. Infrastructure Cost'!D189*(1-'4. Infrastructure Cost'!D$193)</f>
        <v>#NAME?</v>
      </c>
      <c r="E30" s="249" t="e">
        <f ca="1">'4. Infrastructure Cost'!E189*(1-'4. Infrastructure Cost'!E$193)</f>
        <v>#NAME?</v>
      </c>
      <c r="F30" s="249" t="e">
        <f ca="1">'4. Infrastructure Cost'!F189*(1-'4. Infrastructure Cost'!F$193)</f>
        <v>#NAME?</v>
      </c>
      <c r="G30" s="249" t="e">
        <f ca="1">'4. Infrastructure Cost'!G189*(1-'4. Infrastructure Cost'!G$193)</f>
        <v>#NAME?</v>
      </c>
      <c r="H30" s="249">
        <f>'4. Infrastructure Cost'!H189*(1-'4. Infrastructure Cost'!H$193)</f>
        <v>0</v>
      </c>
      <c r="I30" s="66" t="e">
        <f t="shared" ref="I30:I40" ca="1" si="7">SUM(D30:H30)</f>
        <v>#NAME?</v>
      </c>
      <c r="J30" s="28"/>
      <c r="K30" s="33"/>
    </row>
    <row r="31" spans="2:11" x14ac:dyDescent="0.3">
      <c r="B31" s="28"/>
      <c r="C31" s="203" t="s">
        <v>3</v>
      </c>
      <c r="D31" s="249" t="e">
        <f ca="1">'4. Infrastructure Cost'!D190*(1-'4. Infrastructure Cost'!D$193)</f>
        <v>#NAME?</v>
      </c>
      <c r="E31" s="249">
        <f>'4. Infrastructure Cost'!E190*(1-'4. Infrastructure Cost'!E$193)</f>
        <v>376.02299999999997</v>
      </c>
      <c r="F31" s="249">
        <f>'4. Infrastructure Cost'!F190*(1-'4. Infrastructure Cost'!F$193)</f>
        <v>877.38699999999994</v>
      </c>
      <c r="G31" s="249">
        <f>'4. Infrastructure Cost'!G190*(1-'4. Infrastructure Cost'!G$193)</f>
        <v>877.38699999999994</v>
      </c>
      <c r="H31" s="249">
        <f>'4. Infrastructure Cost'!H190*(1-'4. Infrastructure Cost'!H$193)</f>
        <v>0</v>
      </c>
      <c r="I31" s="66" t="e">
        <f t="shared" ca="1" si="7"/>
        <v>#NAME?</v>
      </c>
      <c r="J31" s="28"/>
      <c r="K31" s="33"/>
    </row>
    <row r="32" spans="2:11" x14ac:dyDescent="0.3">
      <c r="B32" s="28"/>
      <c r="C32" s="203" t="s">
        <v>225</v>
      </c>
      <c r="D32" s="249">
        <f>'4. Infrastructure Cost'!D191*(1-'4. Infrastructure Cost'!D$193)</f>
        <v>151.7486572265625</v>
      </c>
      <c r="E32" s="249">
        <f>'4. Infrastructure Cost'!E191*(1-'4. Infrastructure Cost'!E$193)</f>
        <v>318.67218017578125</v>
      </c>
      <c r="F32" s="249">
        <f>'4. Infrastructure Cost'!F191*(1-'4. Infrastructure Cost'!F$193)</f>
        <v>239.00413513183594</v>
      </c>
      <c r="G32" s="249">
        <f>'4. Infrastructure Cost'!G191*(1-'4. Infrastructure Cost'!G$193)</f>
        <v>334.60578918457031</v>
      </c>
      <c r="H32" s="249">
        <f>'4. Infrastructure Cost'!H191*(1-'4. Infrastructure Cost'!H$193)</f>
        <v>0</v>
      </c>
      <c r="I32" s="66">
        <f t="shared" si="7"/>
        <v>1044.03076171875</v>
      </c>
      <c r="J32" s="28"/>
      <c r="K32" s="33"/>
    </row>
    <row r="33" spans="2:12" x14ac:dyDescent="0.3">
      <c r="B33" s="28"/>
      <c r="C33" s="203" t="s">
        <v>193</v>
      </c>
      <c r="D33" s="249">
        <f>'4. Infrastructure Cost'!D192*(1-'4. Infrastructure Cost'!D$193)</f>
        <v>0</v>
      </c>
      <c r="E33" s="249">
        <f>'4. Infrastructure Cost'!E192*(1-'4. Infrastructure Cost'!E$193)</f>
        <v>0</v>
      </c>
      <c r="F33" s="249">
        <f>'4. Infrastructure Cost'!F192*(1-'4. Infrastructure Cost'!F$193)</f>
        <v>0</v>
      </c>
      <c r="G33" s="249">
        <f>'4. Infrastructure Cost'!G192*(1-'4. Infrastructure Cost'!G$193)</f>
        <v>0</v>
      </c>
      <c r="H33" s="249">
        <f>'4. Infrastructure Cost'!H192*(1-'4. Infrastructure Cost'!H$193)</f>
        <v>0</v>
      </c>
      <c r="I33" s="66">
        <f t="shared" si="7"/>
        <v>0</v>
      </c>
      <c r="J33" s="28"/>
      <c r="K33" s="33"/>
    </row>
    <row r="34" spans="2:12" x14ac:dyDescent="0.3">
      <c r="B34" s="28"/>
      <c r="C34" s="203" t="s">
        <v>546</v>
      </c>
      <c r="D34" s="249">
        <v>0</v>
      </c>
      <c r="E34" s="249">
        <v>0</v>
      </c>
      <c r="F34" s="249">
        <v>0</v>
      </c>
      <c r="G34" s="249">
        <v>0</v>
      </c>
      <c r="H34" s="249">
        <v>0</v>
      </c>
      <c r="I34" s="66">
        <f t="shared" si="7"/>
        <v>0</v>
      </c>
      <c r="J34" s="28"/>
      <c r="K34" s="33"/>
    </row>
    <row r="35" spans="2:12" x14ac:dyDescent="0.3">
      <c r="B35" s="28"/>
      <c r="C35" s="51" t="s">
        <v>424</v>
      </c>
      <c r="D35" s="66" t="e">
        <f ca="1">IF(D7&lt;&gt;0,D29/D7,0)</f>
        <v>#NAME?</v>
      </c>
      <c r="E35" s="66" t="e">
        <f ca="1">IF(E7&lt;&gt;0,E29/E7,0)</f>
        <v>#NAME?</v>
      </c>
      <c r="F35" s="66" t="e">
        <f ca="1">IF(F7&lt;&gt;0,F29/F7,0)</f>
        <v>#NAME?</v>
      </c>
      <c r="G35" s="66" t="e">
        <f ca="1">IF(G7&lt;&gt;0,G29/G7,0)</f>
        <v>#NAME?</v>
      </c>
      <c r="H35" s="66">
        <f>IF(H7&lt;&gt;0,H29/H7,0)</f>
        <v>0</v>
      </c>
      <c r="I35" s="66" t="e">
        <f ca="1">IF(I$7&lt;&gt;0,SUM(I29:I34)/I$7,0)</f>
        <v>#NAME?</v>
      </c>
      <c r="J35" s="28"/>
      <c r="K35" s="33"/>
    </row>
    <row r="36" spans="2:12" x14ac:dyDescent="0.3">
      <c r="B36" s="28"/>
      <c r="C36" s="51" t="s">
        <v>396</v>
      </c>
      <c r="D36" s="66">
        <f>SUM('2. Desktop License Cost'!D61)</f>
        <v>4000</v>
      </c>
      <c r="E36" s="66">
        <f>SUM('2. Desktop License Cost'!E61)</f>
        <v>1500</v>
      </c>
      <c r="F36" s="66">
        <f>SUM('2. Desktop License Cost'!F61)</f>
        <v>2450</v>
      </c>
      <c r="G36" s="66">
        <f>SUM('2. Desktop License Cost'!G61)</f>
        <v>2450</v>
      </c>
      <c r="H36" s="66">
        <f>SUM('2. Desktop License Cost'!H61)</f>
        <v>0</v>
      </c>
      <c r="I36" s="66">
        <f t="shared" si="7"/>
        <v>10400</v>
      </c>
      <c r="J36" s="28"/>
      <c r="K36" s="33"/>
    </row>
    <row r="37" spans="2:12" x14ac:dyDescent="0.3">
      <c r="B37" s="28"/>
      <c r="C37" s="51" t="s">
        <v>398</v>
      </c>
      <c r="D37" s="66">
        <f>SUM('3. WVD Management Cost'!D20)</f>
        <v>0</v>
      </c>
      <c r="E37" s="66">
        <f>SUM('3. WVD Management Cost'!E20)</f>
        <v>0</v>
      </c>
      <c r="F37" s="66">
        <f>SUM('3. WVD Management Cost'!F20)</f>
        <v>0</v>
      </c>
      <c r="G37" s="66">
        <f>SUM('3. WVD Management Cost'!G20)</f>
        <v>4825</v>
      </c>
      <c r="H37" s="66">
        <f>SUM('3. WVD Management Cost'!H20)</f>
        <v>0</v>
      </c>
      <c r="I37" s="66">
        <f t="shared" si="7"/>
        <v>4825</v>
      </c>
      <c r="J37" s="28"/>
      <c r="K37" s="33"/>
      <c r="L37" s="206" t="s">
        <v>584</v>
      </c>
    </row>
    <row r="38" spans="2:12" x14ac:dyDescent="0.3">
      <c r="B38" s="28"/>
      <c r="C38" s="51" t="s">
        <v>394</v>
      </c>
      <c r="D38" s="353">
        <f>D22</f>
        <v>0</v>
      </c>
      <c r="E38" s="353">
        <f>E22</f>
        <v>0</v>
      </c>
      <c r="F38" s="353">
        <f>F22</f>
        <v>0</v>
      </c>
      <c r="G38" s="353">
        <f>G22</f>
        <v>0</v>
      </c>
      <c r="H38" s="353">
        <f>H22</f>
        <v>0</v>
      </c>
      <c r="I38" s="66">
        <f>SUM(D38:H38)</f>
        <v>0</v>
      </c>
      <c r="J38" s="28"/>
      <c r="K38" s="33"/>
      <c r="L38" s="354">
        <v>0.3</v>
      </c>
    </row>
    <row r="39" spans="2:12" x14ac:dyDescent="0.3">
      <c r="B39" s="28"/>
      <c r="C39" s="51" t="s">
        <v>395</v>
      </c>
      <c r="D39" s="66">
        <f>D23*(1-$L$38)</f>
        <v>0</v>
      </c>
      <c r="E39" s="66">
        <f>E23*(1-$L$38)</f>
        <v>0</v>
      </c>
      <c r="F39" s="66">
        <f>F23*(1-$L$38)</f>
        <v>0</v>
      </c>
      <c r="G39" s="66">
        <f>G23*(1-$L$38)</f>
        <v>0</v>
      </c>
      <c r="H39" s="66">
        <f>H23*(1-$L$38)</f>
        <v>0</v>
      </c>
      <c r="I39" s="66">
        <f t="shared" si="7"/>
        <v>0</v>
      </c>
      <c r="J39" s="28"/>
      <c r="K39" s="33"/>
    </row>
    <row r="40" spans="2:12" x14ac:dyDescent="0.3">
      <c r="B40" s="28"/>
      <c r="C40" s="135" t="s">
        <v>250</v>
      </c>
      <c r="D40" s="66" t="e">
        <f ca="1">SUM(D29,D36,D37,D38,D39)</f>
        <v>#NAME?</v>
      </c>
      <c r="E40" s="66" t="e">
        <f t="shared" ref="E40:H40" ca="1" si="8">SUM(E29,E36,E37,E38,E39)</f>
        <v>#NAME?</v>
      </c>
      <c r="F40" s="66" t="e">
        <f t="shared" ca="1" si="8"/>
        <v>#NAME?</v>
      </c>
      <c r="G40" s="66" t="e">
        <f t="shared" ca="1" si="8"/>
        <v>#NAME?</v>
      </c>
      <c r="H40" s="66">
        <f t="shared" si="8"/>
        <v>0</v>
      </c>
      <c r="I40" s="66" t="e">
        <f t="shared" ca="1" si="7"/>
        <v>#NAME?</v>
      </c>
      <c r="J40" s="28"/>
      <c r="K40" s="33"/>
    </row>
    <row r="41" spans="2:12" x14ac:dyDescent="0.3">
      <c r="B41" s="28"/>
      <c r="C41" s="135" t="s">
        <v>251</v>
      </c>
      <c r="D41" s="66" t="e">
        <f ca="1">IF(D$7&gt;0,D40/D$7,0)</f>
        <v>#NAME?</v>
      </c>
      <c r="E41" s="66" t="e">
        <f t="shared" ref="E41" ca="1" si="9">IF(E$7&gt;0,E40/E$7,0)</f>
        <v>#NAME?</v>
      </c>
      <c r="F41" s="66" t="e">
        <f t="shared" ref="F41" ca="1" si="10">IF(F$7&gt;0,F40/F$7,0)</f>
        <v>#NAME?</v>
      </c>
      <c r="G41" s="66" t="e">
        <f t="shared" ref="G41" ca="1" si="11">IF(G$7&gt;0,G40/G$7,0)</f>
        <v>#NAME?</v>
      </c>
      <c r="H41" s="66">
        <f t="shared" ref="H41:I41" si="12">IF(H$7&gt;0,H40/H$7,0)</f>
        <v>0</v>
      </c>
      <c r="I41" s="66" t="e">
        <f t="shared" ca="1" si="12"/>
        <v>#NAME?</v>
      </c>
      <c r="J41" s="28"/>
      <c r="K41" s="33"/>
    </row>
    <row r="42" spans="2:12" x14ac:dyDescent="0.3">
      <c r="B42" s="28"/>
      <c r="C42" s="28"/>
      <c r="D42" s="28"/>
      <c r="E42" s="28"/>
      <c r="F42" s="28"/>
      <c r="G42" s="28"/>
      <c r="H42" s="28"/>
      <c r="I42" s="28"/>
      <c r="J42" s="28"/>
      <c r="K42" s="33"/>
    </row>
    <row r="43" spans="2:12" x14ac:dyDescent="0.3">
      <c r="B43" s="28"/>
      <c r="C43" s="199" t="s">
        <v>439</v>
      </c>
      <c r="D43" s="28"/>
      <c r="E43" s="28"/>
      <c r="F43" s="28"/>
      <c r="G43" s="28"/>
      <c r="H43" s="28"/>
      <c r="I43" s="28"/>
      <c r="J43" s="28"/>
      <c r="K43" s="33"/>
    </row>
    <row r="44" spans="2:12" ht="17.25" hidden="1" outlineLevel="1" x14ac:dyDescent="0.3">
      <c r="B44" s="28"/>
      <c r="C44" s="165" t="s">
        <v>428</v>
      </c>
      <c r="D44" s="28"/>
      <c r="E44" s="28"/>
      <c r="F44" s="28"/>
      <c r="G44" s="28"/>
      <c r="H44" s="28"/>
      <c r="I44" s="28"/>
      <c r="J44" s="28"/>
      <c r="K44" s="33"/>
    </row>
    <row r="45" spans="2:12" hidden="1" outlineLevel="1" x14ac:dyDescent="0.3">
      <c r="B45" s="28"/>
      <c r="C45" s="252" t="s">
        <v>212</v>
      </c>
      <c r="D45" s="253" t="str">
        <f>'1. Opportunity Profile'!D19</f>
        <v>Light</v>
      </c>
      <c r="E45" s="253" t="str">
        <f>'1. Opportunity Profile'!E19</f>
        <v>Heavy</v>
      </c>
      <c r="F45" s="253" t="str">
        <f>'1. Opportunity Profile'!F19</f>
        <v>Medium</v>
      </c>
      <c r="G45" s="253" t="str">
        <f>'1. Opportunity Profile'!G19</f>
        <v>Medium</v>
      </c>
      <c r="H45" s="253">
        <f>'1. Opportunity Profile'!H19</f>
        <v>0</v>
      </c>
      <c r="I45" s="28"/>
      <c r="J45" s="28"/>
      <c r="K45" s="33"/>
    </row>
    <row r="46" spans="2:12" hidden="1" outlineLevel="1" x14ac:dyDescent="0.3">
      <c r="B46" s="28"/>
      <c r="C46" s="252" t="s">
        <v>202</v>
      </c>
      <c r="D46" s="256">
        <f>'1. Opportunity Profile'!D20</f>
        <v>500</v>
      </c>
      <c r="E46" s="256">
        <f>'1. Opportunity Profile'!E20</f>
        <v>150</v>
      </c>
      <c r="F46" s="256">
        <f>'1. Opportunity Profile'!F20</f>
        <v>350</v>
      </c>
      <c r="G46" s="256">
        <f>'1. Opportunity Profile'!G20</f>
        <v>350</v>
      </c>
      <c r="H46" s="256">
        <f>'1. Opportunity Profile'!H20</f>
        <v>0</v>
      </c>
      <c r="I46" s="28"/>
      <c r="J46" s="28"/>
      <c r="K46" s="33"/>
    </row>
    <row r="47" spans="2:12" hidden="1" outlineLevel="1" x14ac:dyDescent="0.3">
      <c r="B47" s="28"/>
      <c r="C47" s="252" t="s">
        <v>427</v>
      </c>
      <c r="D47" s="257">
        <f>'1. Opportunity Profile'!D23</f>
        <v>0.8</v>
      </c>
      <c r="E47" s="257">
        <f>'1. Opportunity Profile'!E23</f>
        <v>0.8</v>
      </c>
      <c r="F47" s="257">
        <f>'1. Opportunity Profile'!F23</f>
        <v>0.9</v>
      </c>
      <c r="G47" s="257">
        <f>'1. Opportunity Profile'!G23</f>
        <v>0.9</v>
      </c>
      <c r="H47" s="257">
        <f>'1. Opportunity Profile'!H23</f>
        <v>0</v>
      </c>
      <c r="I47" s="28"/>
      <c r="J47" s="28"/>
      <c r="K47" s="33"/>
    </row>
    <row r="48" spans="2:12" hidden="1" outlineLevel="1" x14ac:dyDescent="0.3">
      <c r="B48" s="28"/>
      <c r="C48" s="252" t="s">
        <v>429</v>
      </c>
      <c r="D48" s="258">
        <f>'1. Opportunity Profile'!D25</f>
        <v>12</v>
      </c>
      <c r="E48" s="258">
        <f>'1. Opportunity Profile'!E25</f>
        <v>12</v>
      </c>
      <c r="F48" s="258">
        <f>'1. Opportunity Profile'!F25</f>
        <v>12</v>
      </c>
      <c r="G48" s="258">
        <f>'1. Opportunity Profile'!G25</f>
        <v>12</v>
      </c>
      <c r="H48" s="258">
        <f>'1. Opportunity Profile'!H25</f>
        <v>0</v>
      </c>
      <c r="I48" s="28"/>
      <c r="J48" s="28"/>
      <c r="K48" s="33"/>
    </row>
    <row r="49" spans="2:11" hidden="1" outlineLevel="1" x14ac:dyDescent="0.3">
      <c r="B49" s="28"/>
      <c r="C49" s="252" t="s">
        <v>430</v>
      </c>
      <c r="D49" s="258">
        <f>'1. Opportunity Profile'!D26</f>
        <v>5</v>
      </c>
      <c r="E49" s="258">
        <f>'1. Opportunity Profile'!E26</f>
        <v>7</v>
      </c>
      <c r="F49" s="258">
        <f>'1. Opportunity Profile'!F26</f>
        <v>5</v>
      </c>
      <c r="G49" s="258">
        <f>'1. Opportunity Profile'!G26</f>
        <v>7</v>
      </c>
      <c r="H49" s="258">
        <f>'1. Opportunity Profile'!H26</f>
        <v>0</v>
      </c>
      <c r="I49" s="28"/>
      <c r="J49" s="28"/>
      <c r="K49" s="33"/>
    </row>
    <row r="50" spans="2:11" hidden="1" outlineLevel="1" x14ac:dyDescent="0.3">
      <c r="B50" s="28"/>
      <c r="C50" s="252" t="s">
        <v>7</v>
      </c>
      <c r="D50" s="253" t="str">
        <f t="shared" ref="D50:H51" si="13">D11</f>
        <v>Windows 7</v>
      </c>
      <c r="E50" s="253" t="str">
        <f t="shared" si="13"/>
        <v>Windows Server</v>
      </c>
      <c r="F50" s="253" t="str">
        <f t="shared" si="13"/>
        <v>Windows Server</v>
      </c>
      <c r="G50" s="253" t="str">
        <f t="shared" si="13"/>
        <v>Windows 10</v>
      </c>
      <c r="H50" s="253" t="str">
        <f t="shared" si="13"/>
        <v/>
      </c>
      <c r="I50" s="28"/>
      <c r="J50" s="28"/>
      <c r="K50" s="33"/>
    </row>
    <row r="51" spans="2:11" hidden="1" outlineLevel="1" x14ac:dyDescent="0.3">
      <c r="B51" s="28"/>
      <c r="C51" s="252" t="s">
        <v>8</v>
      </c>
      <c r="D51" s="253" t="str">
        <f t="shared" si="13"/>
        <v>Physical</v>
      </c>
      <c r="E51" s="253" t="str">
        <f t="shared" si="13"/>
        <v>RDS on-prem</v>
      </c>
      <c r="F51" s="253" t="str">
        <f t="shared" si="13"/>
        <v>RDS on-prem</v>
      </c>
      <c r="G51" s="253" t="str">
        <f t="shared" si="13"/>
        <v>Virtualized - Citrix</v>
      </c>
      <c r="H51" s="253" t="str">
        <f t="shared" si="13"/>
        <v/>
      </c>
      <c r="I51" s="28"/>
      <c r="J51" s="28"/>
      <c r="K51" s="33"/>
    </row>
    <row r="52" spans="2:11" ht="17.25" hidden="1" outlineLevel="1" x14ac:dyDescent="0.3">
      <c r="B52" s="28"/>
      <c r="C52" s="251" t="s">
        <v>129</v>
      </c>
      <c r="D52" s="28"/>
      <c r="E52" s="28"/>
      <c r="F52" s="28"/>
      <c r="G52" s="28"/>
      <c r="H52" s="28"/>
      <c r="I52" s="28"/>
      <c r="J52" s="28"/>
      <c r="K52" s="33"/>
    </row>
    <row r="53" spans="2:11" hidden="1" outlineLevel="1" x14ac:dyDescent="0.3">
      <c r="B53" s="28"/>
      <c r="C53" s="252" t="s">
        <v>7</v>
      </c>
      <c r="D53" s="253" t="str">
        <f>D28</f>
        <v>Windows 10 multi-session</v>
      </c>
      <c r="E53" s="253" t="str">
        <f t="shared" ref="E53:H53" si="14">E28</f>
        <v>Windows Server</v>
      </c>
      <c r="F53" s="253" t="str">
        <f t="shared" si="14"/>
        <v>Windows 10 multi-session</v>
      </c>
      <c r="G53" s="253" t="str">
        <f t="shared" si="14"/>
        <v>Windows 10</v>
      </c>
      <c r="H53" s="253" t="str">
        <f t="shared" si="14"/>
        <v/>
      </c>
      <c r="I53" s="28"/>
      <c r="J53" s="28"/>
      <c r="K53" s="33"/>
    </row>
    <row r="54" spans="2:11" hidden="1" outlineLevel="1" x14ac:dyDescent="0.3">
      <c r="B54" s="28"/>
      <c r="C54" s="277" t="s">
        <v>423</v>
      </c>
      <c r="D54" s="28"/>
      <c r="E54" s="28"/>
      <c r="F54" s="28"/>
      <c r="G54" s="28"/>
      <c r="H54" s="28"/>
      <c r="I54" s="28"/>
      <c r="J54" s="28"/>
      <c r="K54" s="33"/>
    </row>
    <row r="55" spans="2:11" hidden="1" outlineLevel="1" x14ac:dyDescent="0.3">
      <c r="B55" s="28"/>
      <c r="C55" s="278" t="s">
        <v>446</v>
      </c>
      <c r="D55" s="28"/>
      <c r="E55" s="28"/>
      <c r="F55" s="28"/>
      <c r="G55" s="28"/>
      <c r="H55" s="28"/>
      <c r="I55" s="28"/>
      <c r="J55" s="28"/>
      <c r="K55" s="33"/>
    </row>
    <row r="56" spans="2:11" hidden="1" outlineLevel="1" x14ac:dyDescent="0.3">
      <c r="B56" s="28"/>
      <c r="C56" s="275" t="s">
        <v>11</v>
      </c>
      <c r="D56" s="28"/>
      <c r="E56" s="28"/>
      <c r="F56" s="28"/>
      <c r="G56" s="28"/>
      <c r="H56" s="28"/>
      <c r="I56" s="28"/>
      <c r="J56" s="28"/>
      <c r="K56" s="33"/>
    </row>
    <row r="57" spans="2:11" hidden="1" outlineLevel="1" x14ac:dyDescent="0.3">
      <c r="B57" s="28"/>
      <c r="C57" s="276" t="s">
        <v>124</v>
      </c>
      <c r="D57" s="253" t="str">
        <f>'4. Infrastructure Cost'!D29</f>
        <v>Multi-session</v>
      </c>
      <c r="E57" s="253" t="str">
        <f>'4. Infrastructure Cost'!E29</f>
        <v>Multi-session</v>
      </c>
      <c r="F57" s="253" t="str">
        <f>'4. Infrastructure Cost'!F29</f>
        <v>Multi-session</v>
      </c>
      <c r="G57" s="253" t="str">
        <f>'4. Infrastructure Cost'!G29</f>
        <v>Single-session</v>
      </c>
      <c r="H57" s="253" t="str">
        <f>'4. Infrastructure Cost'!H29</f>
        <v/>
      </c>
      <c r="I57" s="28"/>
      <c r="J57" s="28"/>
      <c r="K57" s="33"/>
    </row>
    <row r="58" spans="2:11" hidden="1" outlineLevel="1" x14ac:dyDescent="0.3">
      <c r="B58" s="28"/>
      <c r="C58" s="276" t="s">
        <v>203</v>
      </c>
      <c r="D58" s="253" t="str">
        <f>'4. Infrastructure Cost'!D28</f>
        <v>Pooled</v>
      </c>
      <c r="E58" s="253" t="str">
        <f>'4. Infrastructure Cost'!E28</f>
        <v>Pooled</v>
      </c>
      <c r="F58" s="253" t="str">
        <f>'4. Infrastructure Cost'!F28</f>
        <v>Pooled</v>
      </c>
      <c r="G58" s="253" t="str">
        <f>'4. Infrastructure Cost'!G28</f>
        <v>Pooled</v>
      </c>
      <c r="H58" s="253" t="str">
        <f>'4. Infrastructure Cost'!H28</f>
        <v/>
      </c>
      <c r="I58" s="28"/>
      <c r="J58" s="28"/>
      <c r="K58" s="33"/>
    </row>
    <row r="59" spans="2:11" hidden="1" outlineLevel="1" x14ac:dyDescent="0.3">
      <c r="B59" s="28"/>
      <c r="C59" s="276" t="s">
        <v>425</v>
      </c>
      <c r="D59" s="253" t="str">
        <f>'4. Infrastructure Cost'!D37</f>
        <v>D8s v3</v>
      </c>
      <c r="E59" s="253" t="str">
        <f>'4. Infrastructure Cost'!E37</f>
        <v>D8s v3</v>
      </c>
      <c r="F59" s="253" t="str">
        <f>'4. Infrastructure Cost'!F37</f>
        <v>D8s v3</v>
      </c>
      <c r="G59" s="253" t="str">
        <f>'4. Infrastructure Cost'!G37</f>
        <v>D2s v3</v>
      </c>
      <c r="H59" s="253" t="str">
        <f>'4. Infrastructure Cost'!H37</f>
        <v/>
      </c>
      <c r="I59" s="28"/>
      <c r="J59" s="28"/>
      <c r="K59" s="33"/>
    </row>
    <row r="60" spans="2:11" hidden="1" outlineLevel="1" x14ac:dyDescent="0.3">
      <c r="B60" s="28"/>
      <c r="C60" s="276" t="s">
        <v>426</v>
      </c>
      <c r="D60" s="253" t="str">
        <f>'4. Infrastructure Cost'!D43</f>
        <v>Pay-as-you-go</v>
      </c>
      <c r="E60" s="253" t="str">
        <f>'4. Infrastructure Cost'!E43</f>
        <v>3-year reserved</v>
      </c>
      <c r="F60" s="253" t="str">
        <f>'4. Infrastructure Cost'!F43</f>
        <v>Pay-as-you-go</v>
      </c>
      <c r="G60" s="253" t="str">
        <f>'4. Infrastructure Cost'!G43</f>
        <v>Pay-as-you-go</v>
      </c>
      <c r="H60" s="253" t="str">
        <f>'4. Infrastructure Cost'!H43</f>
        <v/>
      </c>
      <c r="I60" s="28"/>
      <c r="J60" s="28"/>
      <c r="K60" s="33"/>
    </row>
    <row r="61" spans="2:11" hidden="1" outlineLevel="1" x14ac:dyDescent="0.3">
      <c r="B61" s="28"/>
      <c r="C61" s="276" t="s">
        <v>125</v>
      </c>
      <c r="D61" s="258" t="e">
        <f ca="1">'4. Infrastructure Cost'!D46</f>
        <v>#NAME?</v>
      </c>
      <c r="E61" s="258" t="e">
        <f ca="1">'4. Infrastructure Cost'!E46</f>
        <v>#NAME?</v>
      </c>
      <c r="F61" s="258" t="e">
        <f ca="1">'4. Infrastructure Cost'!F46</f>
        <v>#NAME?</v>
      </c>
      <c r="G61" s="258">
        <f>'4. Infrastructure Cost'!G46</f>
        <v>1</v>
      </c>
      <c r="H61" s="258" t="str">
        <f>'4. Infrastructure Cost'!H46</f>
        <v/>
      </c>
      <c r="I61" s="28"/>
      <c r="J61" s="28"/>
      <c r="K61" s="33"/>
    </row>
    <row r="62" spans="2:11" hidden="1" outlineLevel="1" x14ac:dyDescent="0.3">
      <c r="B62" s="28"/>
      <c r="C62" s="276" t="s">
        <v>264</v>
      </c>
      <c r="D62" s="258" t="e">
        <f ca="1">SUM('4. Infrastructure Cost'!D48)</f>
        <v>#NAME?</v>
      </c>
      <c r="E62" s="258" t="e">
        <f ca="1">SUM('4. Infrastructure Cost'!E48)</f>
        <v>#NAME?</v>
      </c>
      <c r="F62" s="258" t="e">
        <f ca="1">SUM('4. Infrastructure Cost'!F48)</f>
        <v>#NAME?</v>
      </c>
      <c r="G62" s="258">
        <f>SUM('4. Infrastructure Cost'!G48)</f>
        <v>316</v>
      </c>
      <c r="H62" s="258">
        <f>SUM('4. Infrastructure Cost'!H48)</f>
        <v>0</v>
      </c>
      <c r="I62" s="28"/>
      <c r="J62" s="28"/>
      <c r="K62" s="33"/>
    </row>
    <row r="63" spans="2:11" hidden="1" outlineLevel="1" x14ac:dyDescent="0.3">
      <c r="B63" s="28"/>
      <c r="C63" s="275" t="s">
        <v>256</v>
      </c>
      <c r="D63" s="28"/>
      <c r="E63" s="28"/>
      <c r="F63" s="28"/>
      <c r="G63" s="28"/>
      <c r="H63" s="28"/>
      <c r="I63" s="28"/>
      <c r="J63" s="28"/>
      <c r="K63" s="33"/>
    </row>
    <row r="64" spans="2:11" hidden="1" outlineLevel="1" x14ac:dyDescent="0.3">
      <c r="B64" s="28"/>
      <c r="C64" s="276" t="s">
        <v>256</v>
      </c>
      <c r="D64" s="253" t="e">
        <f ca="1">'4. Infrastructure Cost'!D63</f>
        <v>#NAME?</v>
      </c>
      <c r="E64" s="253" t="e">
        <f ca="1">'4. Infrastructure Cost'!E63</f>
        <v>#NAME?</v>
      </c>
      <c r="F64" s="253" t="e">
        <f ca="1">'4. Infrastructure Cost'!F63</f>
        <v>#NAME?</v>
      </c>
      <c r="G64" s="253" t="e">
        <f ca="1">'4. Infrastructure Cost'!G63</f>
        <v>#NAME?</v>
      </c>
      <c r="H64" s="253" t="str">
        <f>'4. Infrastructure Cost'!H63</f>
        <v/>
      </c>
      <c r="I64" s="28"/>
      <c r="J64" s="28"/>
      <c r="K64" s="33"/>
    </row>
    <row r="65" spans="2:11" hidden="1" outlineLevel="1" x14ac:dyDescent="0.3">
      <c r="B65" s="28"/>
      <c r="C65" s="276" t="s">
        <v>433</v>
      </c>
      <c r="D65" s="253" t="e">
        <f ca="1">SUM('4. Infrastructure Cost'!D69)*IF('4. Infrastructure Cost'!D59&lt;&gt;"",'4. Infrastructure Cost'!D59,0)</f>
        <v>#NAME?</v>
      </c>
      <c r="E65" s="253" t="e">
        <f ca="1">SUM('4. Infrastructure Cost'!E69)*IF('4. Infrastructure Cost'!E59&lt;&gt;"",'4. Infrastructure Cost'!E59,0)</f>
        <v>#NAME?</v>
      </c>
      <c r="F65" s="253" t="e">
        <f ca="1">SUM('4. Infrastructure Cost'!F69)*IF('4. Infrastructure Cost'!F59&lt;&gt;"",'4. Infrastructure Cost'!F59,0)</f>
        <v>#NAME?</v>
      </c>
      <c r="G65" s="253">
        <f>SUM('4. Infrastructure Cost'!G69)*IF('4. Infrastructure Cost'!G59&lt;&gt;"",'4. Infrastructure Cost'!G59,0)</f>
        <v>316</v>
      </c>
      <c r="H65" s="253">
        <f>SUM('4. Infrastructure Cost'!H69)*IF('4. Infrastructure Cost'!H59&lt;&gt;"",'4. Infrastructure Cost'!H59,0)</f>
        <v>0</v>
      </c>
      <c r="I65" s="28"/>
      <c r="J65" s="28"/>
      <c r="K65" s="33"/>
    </row>
    <row r="66" spans="2:11" hidden="1" outlineLevel="1" x14ac:dyDescent="0.3">
      <c r="B66" s="28"/>
      <c r="C66" s="275" t="s">
        <v>536</v>
      </c>
      <c r="D66" s="28"/>
      <c r="E66" s="28"/>
      <c r="F66" s="28"/>
      <c r="G66" s="28"/>
      <c r="H66" s="28"/>
      <c r="I66" s="28"/>
      <c r="J66" s="28"/>
      <c r="K66" s="33"/>
    </row>
    <row r="67" spans="2:11" hidden="1" outlineLevel="1" x14ac:dyDescent="0.3">
      <c r="B67" s="28"/>
      <c r="C67" s="276" t="s">
        <v>536</v>
      </c>
      <c r="D67" s="253" t="str">
        <f>'4. Infrastructure Cost'!D76</f>
        <v/>
      </c>
      <c r="E67" s="253" t="str">
        <f>'4. Infrastructure Cost'!E76</f>
        <v/>
      </c>
      <c r="F67" s="253" t="str">
        <f>'4. Infrastructure Cost'!F76</f>
        <v/>
      </c>
      <c r="G67" s="253" t="str">
        <f>'4. Infrastructure Cost'!G76</f>
        <v/>
      </c>
      <c r="H67" s="253" t="str">
        <f>'4. Infrastructure Cost'!H76</f>
        <v/>
      </c>
      <c r="I67" s="28"/>
      <c r="J67" s="28"/>
      <c r="K67" s="33"/>
    </row>
    <row r="68" spans="2:11" hidden="1" outlineLevel="1" x14ac:dyDescent="0.3">
      <c r="B68" s="28"/>
      <c r="C68" s="276" t="s">
        <v>547</v>
      </c>
      <c r="D68" s="253" t="e">
        <f ca="1">SUM('4. Infrastructure Cost'!D82)*IF('4. Infrastructure Cost'!D74&lt;&gt;"",'4. Infrastructure Cost'!D74,0)</f>
        <v>#NAME?</v>
      </c>
      <c r="E68" s="253" t="e">
        <f ca="1">SUM('4. Infrastructure Cost'!E82)*IF('4. Infrastructure Cost'!E74&lt;&gt;"",'4. Infrastructure Cost'!E74,0)</f>
        <v>#NAME?</v>
      </c>
      <c r="F68" s="253" t="e">
        <f ca="1">SUM('4. Infrastructure Cost'!F82)*IF('4. Infrastructure Cost'!F74&lt;&gt;"",'4. Infrastructure Cost'!F74,0)</f>
        <v>#NAME?</v>
      </c>
      <c r="G68" s="253">
        <f>SUM('4. Infrastructure Cost'!G82)*IF('4. Infrastructure Cost'!G74&lt;&gt;"",'4. Infrastructure Cost'!G74,0)</f>
        <v>0</v>
      </c>
      <c r="H68" s="253">
        <f>SUM('4. Infrastructure Cost'!H82)*IF('4. Infrastructure Cost'!H74&lt;&gt;"",'4. Infrastructure Cost'!H74,0)</f>
        <v>0</v>
      </c>
      <c r="I68" s="28"/>
      <c r="J68" s="28"/>
      <c r="K68" s="33"/>
    </row>
    <row r="69" spans="2:11" hidden="1" outlineLevel="1" x14ac:dyDescent="0.3">
      <c r="B69" s="28"/>
      <c r="C69" s="278" t="s">
        <v>3</v>
      </c>
      <c r="D69" s="28"/>
      <c r="E69" s="28"/>
      <c r="F69" s="28"/>
      <c r="G69" s="28"/>
      <c r="H69" s="28"/>
      <c r="I69" s="28"/>
      <c r="J69" s="28"/>
      <c r="K69" s="33"/>
    </row>
    <row r="70" spans="2:11" hidden="1" outlineLevel="1" x14ac:dyDescent="0.3">
      <c r="B70" s="28"/>
      <c r="C70" s="298" t="s">
        <v>472</v>
      </c>
      <c r="D70" s="28"/>
      <c r="E70" s="28"/>
      <c r="F70" s="28"/>
      <c r="G70" s="28"/>
      <c r="H70" s="28"/>
      <c r="I70" s="28"/>
      <c r="J70" s="28"/>
      <c r="K70" s="33"/>
    </row>
    <row r="71" spans="2:11" hidden="1" outlineLevel="1" x14ac:dyDescent="0.3">
      <c r="B71" s="28"/>
      <c r="C71" s="300" t="s">
        <v>473</v>
      </c>
      <c r="D71" s="253" t="str">
        <f>'4. Infrastructure Cost'!D102</f>
        <v>Month</v>
      </c>
      <c r="E71" s="253" t="str">
        <f>'4. Infrastructure Cost'!E102</f>
        <v>Month</v>
      </c>
      <c r="F71" s="253" t="str">
        <f>'4. Infrastructure Cost'!F102</f>
        <v>Month</v>
      </c>
      <c r="G71" s="253" t="str">
        <f>'4. Infrastructure Cost'!G102</f>
        <v>Month</v>
      </c>
      <c r="H71" s="253">
        <f>'4. Infrastructure Cost'!H102</f>
        <v>0</v>
      </c>
      <c r="I71" s="28"/>
      <c r="J71" s="28"/>
      <c r="K71" s="33"/>
    </row>
    <row r="72" spans="2:11" hidden="1" outlineLevel="1" x14ac:dyDescent="0.3">
      <c r="B72" s="28"/>
      <c r="C72" s="300" t="s">
        <v>481</v>
      </c>
      <c r="D72" s="253">
        <f>'4. Infrastructure Cost'!D103</f>
        <v>0</v>
      </c>
      <c r="E72" s="253">
        <f>'4. Infrastructure Cost'!E103</f>
        <v>0</v>
      </c>
      <c r="F72" s="253">
        <f>'4. Infrastructure Cost'!F103</f>
        <v>0</v>
      </c>
      <c r="G72" s="253">
        <f>'4. Infrastructure Cost'!G103</f>
        <v>0</v>
      </c>
      <c r="H72" s="253">
        <f>'4. Infrastructure Cost'!H103</f>
        <v>0</v>
      </c>
      <c r="I72" s="28"/>
      <c r="J72" s="28"/>
      <c r="K72" s="33"/>
    </row>
    <row r="73" spans="2:11" hidden="1" outlineLevel="1" x14ac:dyDescent="0.3">
      <c r="B73" s="28"/>
      <c r="C73" s="300" t="s">
        <v>494</v>
      </c>
      <c r="D73" s="253" t="str">
        <f>'4. Infrastructure Cost'!D106</f>
        <v>Standard</v>
      </c>
      <c r="E73" s="253" t="str">
        <f>'4. Infrastructure Cost'!E106</f>
        <v>Standard</v>
      </c>
      <c r="F73" s="253" t="str">
        <f>'4. Infrastructure Cost'!F106</f>
        <v>Standard</v>
      </c>
      <c r="G73" s="253" t="str">
        <f>'4. Infrastructure Cost'!G106</f>
        <v>Standard</v>
      </c>
      <c r="H73" s="253" t="str">
        <f>'4. Infrastructure Cost'!H106</f>
        <v/>
      </c>
      <c r="I73" s="28"/>
      <c r="J73" s="28"/>
      <c r="K73" s="33"/>
    </row>
    <row r="74" spans="2:11" hidden="1" outlineLevel="1" x14ac:dyDescent="0.3">
      <c r="B74" s="28"/>
      <c r="C74" s="298" t="s">
        <v>471</v>
      </c>
      <c r="D74" s="28"/>
      <c r="E74" s="28"/>
      <c r="F74" s="28"/>
      <c r="G74" s="28"/>
      <c r="H74" s="28"/>
      <c r="I74" s="28"/>
      <c r="J74" s="28"/>
      <c r="K74" s="33"/>
    </row>
    <row r="75" spans="2:11" hidden="1" outlineLevel="1" x14ac:dyDescent="0.3">
      <c r="B75" s="28"/>
      <c r="C75" s="299" t="s">
        <v>16</v>
      </c>
      <c r="D75" s="28"/>
      <c r="E75" s="28"/>
      <c r="F75" s="28"/>
      <c r="G75" s="28"/>
      <c r="H75" s="28"/>
      <c r="I75" s="28"/>
      <c r="J75" s="28"/>
      <c r="K75" s="33"/>
    </row>
    <row r="76" spans="2:11" hidden="1" outlineLevel="1" x14ac:dyDescent="0.3">
      <c r="B76" s="28"/>
      <c r="C76" s="300" t="s">
        <v>434</v>
      </c>
      <c r="D76" s="253" t="e">
        <f ca="1">'4. Infrastructure Cost'!D118</f>
        <v>#NAME?</v>
      </c>
      <c r="E76" s="253" t="e">
        <f ca="1">'4. Infrastructure Cost'!E118</f>
        <v>#NAME?</v>
      </c>
      <c r="F76" s="253" t="e">
        <f ca="1">'4. Infrastructure Cost'!F118</f>
        <v>#NAME?</v>
      </c>
      <c r="G76" s="253" t="e">
        <f ca="1">'4. Infrastructure Cost'!G118</f>
        <v>#NAME?</v>
      </c>
      <c r="H76" s="253" t="str">
        <f>'4. Infrastructure Cost'!H118</f>
        <v/>
      </c>
      <c r="I76" s="28"/>
      <c r="J76" s="28"/>
      <c r="K76" s="33"/>
    </row>
    <row r="77" spans="2:11" hidden="1" outlineLevel="1" x14ac:dyDescent="0.3">
      <c r="B77" s="28"/>
      <c r="C77" s="300" t="s">
        <v>435</v>
      </c>
      <c r="D77" s="253" t="e">
        <f ca="1">'4. Infrastructure Cost'!D123</f>
        <v>#NAME?</v>
      </c>
      <c r="E77" s="253" t="e">
        <f ca="1">'4. Infrastructure Cost'!E123</f>
        <v>#NAME?</v>
      </c>
      <c r="F77" s="253" t="e">
        <f ca="1">'4. Infrastructure Cost'!F123</f>
        <v>#NAME?</v>
      </c>
      <c r="G77" s="253" t="e">
        <f ca="1">'4. Infrastructure Cost'!G123</f>
        <v>#NAME?</v>
      </c>
      <c r="H77" s="253" t="str">
        <f>'4. Infrastructure Cost'!H123</f>
        <v/>
      </c>
      <c r="I77" s="28"/>
      <c r="J77" s="28"/>
      <c r="K77" s="33"/>
    </row>
    <row r="78" spans="2:11" hidden="1" outlineLevel="1" x14ac:dyDescent="0.3">
      <c r="B78" s="28"/>
      <c r="C78" s="299" t="s">
        <v>431</v>
      </c>
      <c r="D78" s="28"/>
      <c r="E78" s="28"/>
      <c r="F78" s="28"/>
      <c r="G78" s="28"/>
      <c r="H78" s="28"/>
      <c r="I78" s="28"/>
      <c r="J78" s="28"/>
      <c r="K78" s="33"/>
    </row>
    <row r="79" spans="2:11" hidden="1" outlineLevel="1" x14ac:dyDescent="0.3">
      <c r="B79" s="28"/>
      <c r="C79" s="300" t="s">
        <v>263</v>
      </c>
      <c r="D79" s="253" t="str">
        <f>'4. Infrastructure Cost'!D127</f>
        <v>DS2 v2</v>
      </c>
      <c r="E79" s="253" t="str">
        <f>'4. Infrastructure Cost'!E127</f>
        <v>DS1 v2</v>
      </c>
      <c r="F79" s="253" t="str">
        <f>'4. Infrastructure Cost'!F127</f>
        <v>DS1 v2</v>
      </c>
      <c r="G79" s="253" t="str">
        <f>'4. Infrastructure Cost'!G127</f>
        <v>DS1 v2</v>
      </c>
      <c r="H79" s="253">
        <f>'4. Infrastructure Cost'!H127</f>
        <v>0</v>
      </c>
      <c r="I79" s="28"/>
      <c r="J79" s="28"/>
      <c r="K79" s="33"/>
    </row>
    <row r="80" spans="2:11" hidden="1" outlineLevel="1" x14ac:dyDescent="0.3">
      <c r="B80" s="28"/>
      <c r="C80" s="300" t="s">
        <v>329</v>
      </c>
      <c r="D80" s="253" t="str">
        <f>'4. Infrastructure Cost'!D128</f>
        <v>Available</v>
      </c>
      <c r="E80" s="253" t="str">
        <f>'4. Infrastructure Cost'!E128</f>
        <v>Available</v>
      </c>
      <c r="F80" s="253" t="str">
        <f>'4. Infrastructure Cost'!F128</f>
        <v>Available</v>
      </c>
      <c r="G80" s="253" t="str">
        <f>'4. Infrastructure Cost'!G128</f>
        <v>Available</v>
      </c>
      <c r="H80" s="253" t="str">
        <f>'4. Infrastructure Cost'!H128</f>
        <v/>
      </c>
      <c r="I80" s="28"/>
      <c r="J80" s="28"/>
      <c r="K80" s="33"/>
    </row>
    <row r="81" spans="2:11" hidden="1" outlineLevel="1" x14ac:dyDescent="0.3">
      <c r="B81" s="28"/>
      <c r="C81" s="300" t="s">
        <v>264</v>
      </c>
      <c r="D81" s="253">
        <f>'4. Infrastructure Cost'!D131</f>
        <v>2</v>
      </c>
      <c r="E81" s="253">
        <f>'4. Infrastructure Cost'!E131</f>
        <v>0</v>
      </c>
      <c r="F81" s="253">
        <f>'4. Infrastructure Cost'!F131</f>
        <v>0</v>
      </c>
      <c r="G81" s="253">
        <f>'4. Infrastructure Cost'!G131</f>
        <v>0</v>
      </c>
      <c r="H81" s="253">
        <f>'4. Infrastructure Cost'!H131</f>
        <v>0</v>
      </c>
      <c r="I81" s="28"/>
      <c r="J81" s="28"/>
      <c r="K81" s="33"/>
    </row>
    <row r="82" spans="2:11" hidden="1" outlineLevel="1" x14ac:dyDescent="0.3">
      <c r="B82" s="28"/>
      <c r="C82" s="300" t="s">
        <v>321</v>
      </c>
      <c r="D82" s="253" t="str">
        <f>'4. Infrastructure Cost'!D132</f>
        <v>3-year reserved</v>
      </c>
      <c r="E82" s="253" t="str">
        <f>'4. Infrastructure Cost'!E132</f>
        <v>3-year reserved</v>
      </c>
      <c r="F82" s="253" t="str">
        <f>'4. Infrastructure Cost'!F132</f>
        <v>3-year reserved</v>
      </c>
      <c r="G82" s="253" t="str">
        <f>'4. Infrastructure Cost'!G132</f>
        <v>3-year reserved</v>
      </c>
      <c r="H82" s="253">
        <f>'4. Infrastructure Cost'!H132</f>
        <v>0</v>
      </c>
      <c r="I82" s="28"/>
      <c r="J82" s="28"/>
      <c r="K82" s="33"/>
    </row>
    <row r="83" spans="2:11" hidden="1" outlineLevel="1" x14ac:dyDescent="0.3">
      <c r="B83" s="28"/>
      <c r="C83" s="300" t="s">
        <v>432</v>
      </c>
      <c r="D83" s="253">
        <f>IF(D82&lt;&gt;"",IF(D82&lt;&gt;Reference!$L$3,'4. Infrastructure Cost'!$L$19,'4. Infrastructure Cost'!D133),"")</f>
        <v>730</v>
      </c>
      <c r="E83" s="253">
        <f>IF(E82&lt;&gt;"",IF(E82&lt;&gt;Reference!$L$3,'4. Infrastructure Cost'!$L$19,'4. Infrastructure Cost'!E133),"")</f>
        <v>730</v>
      </c>
      <c r="F83" s="253">
        <f>IF(F82&lt;&gt;"",IF(F82&lt;&gt;Reference!$L$3,'4. Infrastructure Cost'!$L$19,'4. Infrastructure Cost'!F133),"")</f>
        <v>730</v>
      </c>
      <c r="G83" s="253">
        <f>IF(G82&lt;&gt;"",IF(G82&lt;&gt;Reference!$L$3,'4. Infrastructure Cost'!$L$19,'4. Infrastructure Cost'!G133),"")</f>
        <v>730</v>
      </c>
      <c r="H83" s="253">
        <f>IF(H82&lt;&gt;"",IF(H82&lt;&gt;Reference!$L$3,'4. Infrastructure Cost'!$L$19,'4. Infrastructure Cost'!H133),"")</f>
        <v>730</v>
      </c>
      <c r="I83" s="28"/>
      <c r="J83" s="28"/>
      <c r="K83" s="33"/>
    </row>
    <row r="84" spans="2:11" hidden="1" outlineLevel="1" x14ac:dyDescent="0.3">
      <c r="B84" s="28"/>
      <c r="C84" s="299" t="s">
        <v>256</v>
      </c>
      <c r="D84" s="28"/>
      <c r="E84" s="28"/>
      <c r="F84" s="28"/>
      <c r="G84" s="28"/>
      <c r="H84" s="28"/>
      <c r="I84" s="28"/>
      <c r="J84" s="28"/>
      <c r="K84" s="33"/>
    </row>
    <row r="85" spans="2:11" hidden="1" outlineLevel="1" x14ac:dyDescent="0.3">
      <c r="B85" s="28"/>
      <c r="C85" s="300" t="s">
        <v>256</v>
      </c>
      <c r="D85" s="253" t="e">
        <f ca="1">'4. Infrastructure Cost'!D145</f>
        <v>#NAME?</v>
      </c>
      <c r="E85" s="253" t="e">
        <f ca="1">'4. Infrastructure Cost'!E145</f>
        <v>#NAME?</v>
      </c>
      <c r="F85" s="253" t="e">
        <f ca="1">'4. Infrastructure Cost'!F145</f>
        <v>#NAME?</v>
      </c>
      <c r="G85" s="253" t="e">
        <f ca="1">'4. Infrastructure Cost'!G145</f>
        <v>#NAME?</v>
      </c>
      <c r="H85" s="253" t="str">
        <f>'4. Infrastructure Cost'!H145</f>
        <v/>
      </c>
      <c r="I85" s="28"/>
      <c r="J85" s="28"/>
      <c r="K85" s="33"/>
    </row>
    <row r="86" spans="2:11" hidden="1" outlineLevel="1" x14ac:dyDescent="0.3">
      <c r="B86" s="28"/>
      <c r="C86" s="300" t="s">
        <v>433</v>
      </c>
      <c r="D86" s="253">
        <f>'4. Infrastructure Cost'!D151</f>
        <v>2</v>
      </c>
      <c r="E86" s="253" t="str">
        <f>'4. Infrastructure Cost'!E151</f>
        <v/>
      </c>
      <c r="F86" s="253" t="str">
        <f>'4. Infrastructure Cost'!F151</f>
        <v/>
      </c>
      <c r="G86" s="253" t="str">
        <f>'4. Infrastructure Cost'!G151</f>
        <v/>
      </c>
      <c r="H86" s="253" t="str">
        <f>'4. Infrastructure Cost'!H151</f>
        <v/>
      </c>
      <c r="I86" s="28"/>
      <c r="J86" s="28"/>
      <c r="K86" s="33"/>
    </row>
    <row r="87" spans="2:11" hidden="1" outlineLevel="1" x14ac:dyDescent="0.3">
      <c r="B87" s="28"/>
      <c r="C87" s="278" t="s">
        <v>324</v>
      </c>
      <c r="D87" s="28"/>
      <c r="E87" s="28"/>
      <c r="F87" s="28"/>
      <c r="G87" s="28"/>
      <c r="H87" s="28"/>
      <c r="I87" s="28"/>
      <c r="J87" s="28"/>
      <c r="K87" s="33"/>
    </row>
    <row r="88" spans="2:11" hidden="1" outlineLevel="1" x14ac:dyDescent="0.3">
      <c r="B88" s="28"/>
      <c r="C88" s="255" t="s">
        <v>141</v>
      </c>
      <c r="D88" s="253" t="str">
        <f>'4. Infrastructure Cost'!D161</f>
        <v>us-west</v>
      </c>
      <c r="E88" s="253" t="str">
        <f>'4. Infrastructure Cost'!E161</f>
        <v>us-west</v>
      </c>
      <c r="F88" s="253" t="str">
        <f>'4. Infrastructure Cost'!F161</f>
        <v>us-west</v>
      </c>
      <c r="G88" s="253" t="str">
        <f>'4. Infrastructure Cost'!G161</f>
        <v>us-west</v>
      </c>
      <c r="H88" s="253" t="str">
        <f>'4. Infrastructure Cost'!H161</f>
        <v/>
      </c>
      <c r="I88" s="28"/>
      <c r="J88" s="28"/>
      <c r="K88" s="33"/>
    </row>
    <row r="89" spans="2:11" hidden="1" outlineLevel="1" x14ac:dyDescent="0.3">
      <c r="B89" s="28"/>
      <c r="C89" s="255" t="s">
        <v>142</v>
      </c>
      <c r="D89" s="253" t="str">
        <f>'4. Infrastructure Cost'!D162</f>
        <v>us-west</v>
      </c>
      <c r="E89" s="253" t="str">
        <f>'4. Infrastructure Cost'!E162</f>
        <v>us-west</v>
      </c>
      <c r="F89" s="253" t="str">
        <f>'4. Infrastructure Cost'!F162</f>
        <v>us-west</v>
      </c>
      <c r="G89" s="253" t="str">
        <f>'4. Infrastructure Cost'!G162</f>
        <v>us-east</v>
      </c>
      <c r="H89" s="253">
        <f>'4. Infrastructure Cost'!H162</f>
        <v>0</v>
      </c>
      <c r="I89" s="28"/>
      <c r="J89" s="28"/>
      <c r="K89" s="33"/>
    </row>
    <row r="90" spans="2:11" hidden="1" outlineLevel="1" x14ac:dyDescent="0.3">
      <c r="B90" s="28"/>
      <c r="C90" s="255" t="s">
        <v>143</v>
      </c>
      <c r="D90" s="253" t="str">
        <f>'4. Infrastructure Cost'!D163</f>
        <v>Same Region</v>
      </c>
      <c r="E90" s="253" t="str">
        <f>'4. Infrastructure Cost'!E163</f>
        <v>Same Region</v>
      </c>
      <c r="F90" s="253" t="str">
        <f>'4. Infrastructure Cost'!F163</f>
        <v>Same Region</v>
      </c>
      <c r="G90" s="253" t="str">
        <f>'4. Infrastructure Cost'!G163</f>
        <v>Across Region</v>
      </c>
      <c r="H90" s="253" t="str">
        <f>'4. Infrastructure Cost'!H163</f>
        <v/>
      </c>
      <c r="I90" s="28"/>
      <c r="J90" s="28"/>
      <c r="K90" s="33"/>
    </row>
    <row r="91" spans="2:11" hidden="1" outlineLevel="1" x14ac:dyDescent="0.3">
      <c r="B91" s="28"/>
      <c r="C91" s="255" t="s">
        <v>314</v>
      </c>
      <c r="D91" s="256">
        <f>'4. Infrastructure Cost'!D166</f>
        <v>50</v>
      </c>
      <c r="E91" s="256">
        <f>'4. Infrastructure Cost'!E166</f>
        <v>250</v>
      </c>
      <c r="F91" s="256">
        <f>'4. Infrastructure Cost'!F166</f>
        <v>100</v>
      </c>
      <c r="G91" s="256">
        <f>'4. Infrastructure Cost'!G166</f>
        <v>100</v>
      </c>
      <c r="H91" s="256" t="str">
        <f>'4. Infrastructure Cost'!H166</f>
        <v/>
      </c>
      <c r="I91" s="28"/>
      <c r="J91" s="28"/>
      <c r="K91" s="33"/>
    </row>
    <row r="92" spans="2:11" hidden="1" outlineLevel="1" x14ac:dyDescent="0.3">
      <c r="B92" s="28"/>
      <c r="C92" s="255" t="s">
        <v>147</v>
      </c>
      <c r="D92" s="256">
        <f>'4. Infrastructure Cost'!D168</f>
        <v>17852.783203125</v>
      </c>
      <c r="E92" s="256">
        <f>'4. Infrastructure Cost'!E168</f>
        <v>37490.8447265625</v>
      </c>
      <c r="F92" s="256">
        <f>'4. Infrastructure Cost'!F168</f>
        <v>28118.133544921875</v>
      </c>
      <c r="G92" s="256">
        <f>'4. Infrastructure Cost'!G168</f>
        <v>39365.386962890625</v>
      </c>
      <c r="H92" s="256" t="str">
        <f>'4. Infrastructure Cost'!H168</f>
        <v/>
      </c>
      <c r="I92" s="28"/>
      <c r="J92" s="28"/>
      <c r="K92" s="33"/>
    </row>
    <row r="93" spans="2:11" hidden="1" outlineLevel="1" x14ac:dyDescent="0.3">
      <c r="B93" s="28"/>
      <c r="C93" s="279" t="s">
        <v>396</v>
      </c>
      <c r="D93" s="28"/>
      <c r="E93" s="28"/>
      <c r="F93" s="28"/>
      <c r="G93" s="28"/>
      <c r="H93" s="28"/>
      <c r="I93" s="28"/>
      <c r="J93" s="28"/>
      <c r="K93" s="33"/>
    </row>
    <row r="94" spans="2:11" hidden="1" outlineLevel="1" x14ac:dyDescent="0.3">
      <c r="B94" s="28"/>
      <c r="C94" s="254" t="s">
        <v>413</v>
      </c>
      <c r="D94" s="28"/>
      <c r="E94" s="28"/>
      <c r="F94" s="28"/>
      <c r="G94" s="28"/>
      <c r="H94" s="28"/>
      <c r="I94" s="28"/>
      <c r="J94" s="28"/>
      <c r="K94" s="33"/>
    </row>
    <row r="95" spans="2:11" hidden="1" outlineLevel="1" x14ac:dyDescent="0.3">
      <c r="B95" s="28"/>
      <c r="C95" s="255" t="s">
        <v>249</v>
      </c>
      <c r="D95" s="253" t="str">
        <f>'2. Desktop License Cost'!D9</f>
        <v>Requires add'l licensing</v>
      </c>
      <c r="E95" s="253" t="str">
        <f>'2. Desktop License Cost'!E9</f>
        <v>Qualifies for WVD Rights</v>
      </c>
      <c r="F95" s="253" t="str">
        <f>'2. Desktop License Cost'!F9</f>
        <v>Qualifies for WVD Rights</v>
      </c>
      <c r="G95" s="253" t="str">
        <f>'2. Desktop License Cost'!G9</f>
        <v>Qualifies for WVD Rights</v>
      </c>
      <c r="H95" s="253" t="str">
        <f>'2. Desktop License Cost'!H9</f>
        <v/>
      </c>
      <c r="I95" s="28"/>
      <c r="J95" s="28"/>
      <c r="K95" s="33"/>
    </row>
    <row r="96" spans="2:11" hidden="1" outlineLevel="1" x14ac:dyDescent="0.3">
      <c r="B96" s="28"/>
      <c r="C96" s="255" t="s">
        <v>436</v>
      </c>
      <c r="D96" s="253" t="str">
        <f>IF(D95=Reference!$AB$3,'2. Desktop License Cost'!D11,'2. Desktop License Cost'!D13)</f>
        <v>M365 E3/A3</v>
      </c>
      <c r="E96" s="253" t="str">
        <f>IF(E95=Reference!$AB$3,'2. Desktop License Cost'!E11,'2. Desktop License Cost'!E13)</f>
        <v>RDS CAL w/ SA</v>
      </c>
      <c r="F96" s="253" t="str">
        <f>IF(F95=Reference!$AB$3,'2. Desktop License Cost'!F11,'2. Desktop License Cost'!F13)</f>
        <v>Windows 10 Enterprise E3/E5</v>
      </c>
      <c r="G96" s="253" t="str">
        <f>IF(G95=Reference!$AB$3,'2. Desktop License Cost'!G11,'2. Desktop License Cost'!G13)</f>
        <v>Windows 10 Enterprise E3/E5</v>
      </c>
      <c r="H96" s="253">
        <f>IF(H95=Reference!$AB$3,'2. Desktop License Cost'!H11,'2. Desktop License Cost'!H13)</f>
        <v>0</v>
      </c>
      <c r="I96" s="28"/>
      <c r="J96" s="28"/>
      <c r="K96" s="33"/>
    </row>
    <row r="97" spans="2:14" hidden="1" outlineLevel="1" x14ac:dyDescent="0.3">
      <c r="B97" s="28"/>
      <c r="C97" s="254" t="s">
        <v>167</v>
      </c>
      <c r="D97" s="28"/>
      <c r="E97" s="28"/>
      <c r="F97" s="28"/>
      <c r="G97" s="28"/>
      <c r="H97" s="28"/>
      <c r="I97" s="28"/>
      <c r="J97" s="28"/>
      <c r="K97" s="33"/>
    </row>
    <row r="98" spans="2:14" hidden="1" outlineLevel="1" x14ac:dyDescent="0.3">
      <c r="B98" s="28"/>
      <c r="C98" s="255" t="s">
        <v>436</v>
      </c>
      <c r="D98" s="253" t="s">
        <v>437</v>
      </c>
      <c r="E98" s="253" t="s">
        <v>437</v>
      </c>
      <c r="F98" s="253" t="s">
        <v>437</v>
      </c>
      <c r="G98" s="253" t="s">
        <v>437</v>
      </c>
      <c r="H98" s="253" t="s">
        <v>437</v>
      </c>
      <c r="I98" s="28"/>
      <c r="J98" s="28"/>
      <c r="K98" s="33"/>
    </row>
    <row r="99" spans="2:14" hidden="1" outlineLevel="1" x14ac:dyDescent="0.3">
      <c r="B99" s="28"/>
      <c r="C99" s="254" t="s">
        <v>386</v>
      </c>
      <c r="D99" s="28"/>
      <c r="E99" s="28"/>
      <c r="F99" s="28"/>
      <c r="G99" s="28"/>
      <c r="H99" s="28"/>
      <c r="I99" s="28"/>
      <c r="J99" s="28"/>
      <c r="K99" s="33"/>
    </row>
    <row r="100" spans="2:14" hidden="1" outlineLevel="1" x14ac:dyDescent="0.3">
      <c r="B100" s="28"/>
      <c r="C100" s="255" t="s">
        <v>436</v>
      </c>
      <c r="D100" s="253" t="s">
        <v>437</v>
      </c>
      <c r="E100" s="253" t="s">
        <v>437</v>
      </c>
      <c r="F100" s="253" t="s">
        <v>437</v>
      </c>
      <c r="G100" s="253" t="s">
        <v>437</v>
      </c>
      <c r="H100" s="253" t="s">
        <v>437</v>
      </c>
      <c r="I100" s="28"/>
      <c r="J100" s="28"/>
      <c r="K100" s="33"/>
    </row>
    <row r="101" spans="2:14" hidden="1" outlineLevel="1" x14ac:dyDescent="0.3">
      <c r="B101" s="28"/>
      <c r="C101" s="277" t="s">
        <v>438</v>
      </c>
      <c r="D101" s="28"/>
      <c r="E101" s="28"/>
      <c r="F101" s="28"/>
      <c r="G101" s="28"/>
      <c r="H101" s="28"/>
      <c r="I101" s="28"/>
      <c r="J101" s="28"/>
      <c r="K101" s="33"/>
    </row>
    <row r="102" spans="2:14" hidden="1" outlineLevel="1" x14ac:dyDescent="0.3">
      <c r="B102" s="28"/>
      <c r="C102" s="259" t="s">
        <v>438</v>
      </c>
      <c r="D102" s="260" t="str">
        <f>'3. WVD Management Cost'!D15</f>
        <v>WVD Native</v>
      </c>
      <c r="E102" s="260" t="str">
        <f>'3. WVD Management Cost'!E15</f>
        <v>WVD Native</v>
      </c>
      <c r="F102" s="260" t="str">
        <f>'3. WVD Management Cost'!F15</f>
        <v>WVD Native</v>
      </c>
      <c r="G102" s="260" t="str">
        <f>'3. WVD Management Cost'!G15</f>
        <v>Citrix</v>
      </c>
      <c r="H102" s="260">
        <f>'3. WVD Management Cost'!H15</f>
        <v>0</v>
      </c>
      <c r="I102" s="28"/>
      <c r="J102" s="28"/>
      <c r="K102" s="33"/>
    </row>
    <row r="103" spans="2:14" collapsed="1" x14ac:dyDescent="0.3">
      <c r="B103" s="28"/>
      <c r="C103" s="28"/>
      <c r="D103" s="28"/>
      <c r="E103" s="28"/>
      <c r="F103" s="28"/>
      <c r="G103" s="28"/>
      <c r="H103" s="28"/>
      <c r="I103" s="28"/>
      <c r="J103" s="28"/>
      <c r="K103" s="33"/>
    </row>
    <row r="104" spans="2:14" ht="17.25" x14ac:dyDescent="0.3">
      <c r="B104" s="28"/>
      <c r="C104" s="199" t="s">
        <v>401</v>
      </c>
      <c r="D104" s="200"/>
      <c r="E104" s="200"/>
      <c r="F104" s="200"/>
      <c r="G104" s="200"/>
      <c r="H104" s="200"/>
      <c r="I104" s="200"/>
      <c r="J104" s="28"/>
      <c r="K104" s="33"/>
    </row>
    <row r="105" spans="2:14" x14ac:dyDescent="0.3">
      <c r="B105" s="28"/>
      <c r="C105" s="51" t="s">
        <v>423</v>
      </c>
      <c r="D105" s="66" t="e">
        <f t="shared" ref="D105:I117" ca="1" si="15">D13-D29</f>
        <v>#NAME?</v>
      </c>
      <c r="E105" s="66" t="e">
        <f t="shared" ca="1" si="15"/>
        <v>#NAME?</v>
      </c>
      <c r="F105" s="66" t="e">
        <f t="shared" ca="1" si="15"/>
        <v>#NAME?</v>
      </c>
      <c r="G105" s="66" t="e">
        <f t="shared" ca="1" si="15"/>
        <v>#NAME?</v>
      </c>
      <c r="H105" s="66">
        <f t="shared" si="15"/>
        <v>0</v>
      </c>
      <c r="I105" s="66" t="e">
        <f t="shared" ca="1" si="15"/>
        <v>#NAME?</v>
      </c>
      <c r="J105" s="28"/>
      <c r="K105" s="33"/>
    </row>
    <row r="106" spans="2:14" x14ac:dyDescent="0.3">
      <c r="B106" s="28"/>
      <c r="C106" s="203" t="s">
        <v>446</v>
      </c>
      <c r="D106" s="249" t="e">
        <f t="shared" ca="1" si="15"/>
        <v>#NAME?</v>
      </c>
      <c r="E106" s="249" t="e">
        <f t="shared" ca="1" si="15"/>
        <v>#NAME?</v>
      </c>
      <c r="F106" s="249" t="e">
        <f t="shared" ca="1" si="15"/>
        <v>#NAME?</v>
      </c>
      <c r="G106" s="249" t="e">
        <f t="shared" ca="1" si="15"/>
        <v>#NAME?</v>
      </c>
      <c r="H106" s="249">
        <f t="shared" si="15"/>
        <v>0</v>
      </c>
      <c r="I106" s="66" t="e">
        <f t="shared" ca="1" si="15"/>
        <v>#NAME?</v>
      </c>
      <c r="J106" s="28"/>
      <c r="K106" s="33"/>
      <c r="N106" s="201"/>
    </row>
    <row r="107" spans="2:14" x14ac:dyDescent="0.3">
      <c r="B107" s="28"/>
      <c r="C107" s="203" t="s">
        <v>3</v>
      </c>
      <c r="D107" s="249" t="e">
        <f t="shared" ca="1" si="15"/>
        <v>#NAME?</v>
      </c>
      <c r="E107" s="249">
        <f t="shared" si="15"/>
        <v>-376.02299999999997</v>
      </c>
      <c r="F107" s="249">
        <f t="shared" si="15"/>
        <v>-877.38699999999994</v>
      </c>
      <c r="G107" s="249">
        <f t="shared" si="15"/>
        <v>-877.38699999999994</v>
      </c>
      <c r="H107" s="249">
        <f t="shared" si="15"/>
        <v>0</v>
      </c>
      <c r="I107" s="66" t="e">
        <f t="shared" ca="1" si="15"/>
        <v>#NAME?</v>
      </c>
      <c r="J107" s="28"/>
      <c r="K107" s="33"/>
    </row>
    <row r="108" spans="2:14" x14ac:dyDescent="0.3">
      <c r="B108" s="28"/>
      <c r="C108" s="203" t="s">
        <v>225</v>
      </c>
      <c r="D108" s="249">
        <f t="shared" si="15"/>
        <v>-151.7486572265625</v>
      </c>
      <c r="E108" s="249">
        <f t="shared" si="15"/>
        <v>-318.67218017578125</v>
      </c>
      <c r="F108" s="249">
        <f t="shared" si="15"/>
        <v>-239.00413513183594</v>
      </c>
      <c r="G108" s="249">
        <f t="shared" si="15"/>
        <v>-334.60578918457031</v>
      </c>
      <c r="H108" s="249">
        <f t="shared" si="15"/>
        <v>0</v>
      </c>
      <c r="I108" s="66">
        <f t="shared" si="15"/>
        <v>-1044.03076171875</v>
      </c>
      <c r="J108" s="28"/>
      <c r="K108" s="33"/>
    </row>
    <row r="109" spans="2:14" x14ac:dyDescent="0.3">
      <c r="B109" s="28"/>
      <c r="C109" s="203" t="s">
        <v>193</v>
      </c>
      <c r="D109" s="249">
        <f t="shared" si="15"/>
        <v>0</v>
      </c>
      <c r="E109" s="249">
        <f t="shared" si="15"/>
        <v>0</v>
      </c>
      <c r="F109" s="249">
        <f t="shared" si="15"/>
        <v>0</v>
      </c>
      <c r="G109" s="249">
        <f t="shared" si="15"/>
        <v>0</v>
      </c>
      <c r="H109" s="249">
        <f t="shared" si="15"/>
        <v>0</v>
      </c>
      <c r="I109" s="66">
        <f t="shared" si="15"/>
        <v>0</v>
      </c>
      <c r="J109" s="28"/>
      <c r="K109" s="33"/>
    </row>
    <row r="110" spans="2:14" x14ac:dyDescent="0.3">
      <c r="B110" s="28"/>
      <c r="C110" s="203" t="s">
        <v>546</v>
      </c>
      <c r="D110" s="249">
        <f t="shared" si="15"/>
        <v>0</v>
      </c>
      <c r="E110" s="249">
        <f t="shared" si="15"/>
        <v>0</v>
      </c>
      <c r="F110" s="249">
        <f t="shared" si="15"/>
        <v>0</v>
      </c>
      <c r="G110" s="249">
        <f t="shared" si="15"/>
        <v>0</v>
      </c>
      <c r="H110" s="249">
        <f t="shared" si="15"/>
        <v>0</v>
      </c>
      <c r="I110" s="66">
        <f t="shared" si="15"/>
        <v>0</v>
      </c>
      <c r="J110" s="28"/>
      <c r="K110" s="33"/>
    </row>
    <row r="111" spans="2:14" x14ac:dyDescent="0.3">
      <c r="B111" s="28"/>
      <c r="C111" s="51" t="s">
        <v>424</v>
      </c>
      <c r="D111" s="66" t="e">
        <f t="shared" ca="1" si="15"/>
        <v>#NAME?</v>
      </c>
      <c r="E111" s="66" t="e">
        <f t="shared" ca="1" si="15"/>
        <v>#NAME?</v>
      </c>
      <c r="F111" s="66" t="e">
        <f t="shared" ca="1" si="15"/>
        <v>#NAME?</v>
      </c>
      <c r="G111" s="66" t="e">
        <f t="shared" ca="1" si="15"/>
        <v>#NAME?</v>
      </c>
      <c r="H111" s="66">
        <f t="shared" si="15"/>
        <v>0</v>
      </c>
      <c r="I111" s="66" t="e">
        <f t="shared" ca="1" si="15"/>
        <v>#NAME?</v>
      </c>
      <c r="J111" s="28"/>
      <c r="K111" s="33"/>
      <c r="M111" s="261" t="s">
        <v>440</v>
      </c>
    </row>
    <row r="112" spans="2:14" x14ac:dyDescent="0.3">
      <c r="B112" s="28"/>
      <c r="C112" s="51" t="s">
        <v>396</v>
      </c>
      <c r="D112" s="66">
        <f t="shared" si="15"/>
        <v>-4000</v>
      </c>
      <c r="E112" s="66">
        <f t="shared" si="15"/>
        <v>1000</v>
      </c>
      <c r="F112" s="66">
        <f t="shared" si="15"/>
        <v>4500</v>
      </c>
      <c r="G112" s="66">
        <f t="shared" si="15"/>
        <v>0</v>
      </c>
      <c r="H112" s="66">
        <f t="shared" si="15"/>
        <v>0</v>
      </c>
      <c r="I112" s="66">
        <f t="shared" si="15"/>
        <v>1500</v>
      </c>
      <c r="J112" s="28"/>
      <c r="K112" s="33"/>
    </row>
    <row r="113" spans="2:11" x14ac:dyDescent="0.3">
      <c r="B113" s="28"/>
      <c r="C113" s="51" t="s">
        <v>398</v>
      </c>
      <c r="D113" s="66">
        <f t="shared" si="15"/>
        <v>0</v>
      </c>
      <c r="E113" s="66">
        <f t="shared" si="15"/>
        <v>0</v>
      </c>
      <c r="F113" s="66">
        <f t="shared" si="15"/>
        <v>0</v>
      </c>
      <c r="G113" s="66">
        <f t="shared" si="15"/>
        <v>175</v>
      </c>
      <c r="H113" s="66">
        <f t="shared" si="15"/>
        <v>0</v>
      </c>
      <c r="I113" s="66">
        <f t="shared" si="15"/>
        <v>175</v>
      </c>
      <c r="J113" s="28"/>
      <c r="K113" s="33"/>
    </row>
    <row r="114" spans="2:11" x14ac:dyDescent="0.3">
      <c r="B114" s="28"/>
      <c r="C114" s="51" t="s">
        <v>394</v>
      </c>
      <c r="D114" s="66">
        <f t="shared" si="15"/>
        <v>0</v>
      </c>
      <c r="E114" s="66">
        <f t="shared" si="15"/>
        <v>0</v>
      </c>
      <c r="F114" s="66">
        <f t="shared" si="15"/>
        <v>0</v>
      </c>
      <c r="G114" s="66">
        <f t="shared" si="15"/>
        <v>0</v>
      </c>
      <c r="H114" s="66">
        <f t="shared" si="15"/>
        <v>0</v>
      </c>
      <c r="I114" s="66">
        <f t="shared" si="15"/>
        <v>0</v>
      </c>
      <c r="J114" s="28"/>
      <c r="K114" s="33"/>
    </row>
    <row r="115" spans="2:11" x14ac:dyDescent="0.3">
      <c r="B115" s="28"/>
      <c r="C115" s="51" t="s">
        <v>395</v>
      </c>
      <c r="D115" s="66">
        <f t="shared" si="15"/>
        <v>0</v>
      </c>
      <c r="E115" s="66">
        <f t="shared" si="15"/>
        <v>0</v>
      </c>
      <c r="F115" s="66">
        <f t="shared" si="15"/>
        <v>0</v>
      </c>
      <c r="G115" s="66">
        <f t="shared" si="15"/>
        <v>0</v>
      </c>
      <c r="H115" s="66">
        <f t="shared" si="15"/>
        <v>0</v>
      </c>
      <c r="I115" s="66">
        <f t="shared" si="15"/>
        <v>0</v>
      </c>
      <c r="J115" s="28"/>
      <c r="K115" s="33"/>
    </row>
    <row r="116" spans="2:11" x14ac:dyDescent="0.3">
      <c r="B116" s="28"/>
      <c r="C116" s="135" t="s">
        <v>250</v>
      </c>
      <c r="D116" s="66" t="e">
        <f t="shared" ca="1" si="15"/>
        <v>#NAME?</v>
      </c>
      <c r="E116" s="66" t="e">
        <f t="shared" ca="1" si="15"/>
        <v>#NAME?</v>
      </c>
      <c r="F116" s="66" t="e">
        <f t="shared" ca="1" si="15"/>
        <v>#NAME?</v>
      </c>
      <c r="G116" s="66" t="e">
        <f t="shared" ca="1" si="15"/>
        <v>#NAME?</v>
      </c>
      <c r="H116" s="66">
        <f t="shared" si="15"/>
        <v>0</v>
      </c>
      <c r="I116" s="66" t="e">
        <f t="shared" ca="1" si="15"/>
        <v>#NAME?</v>
      </c>
      <c r="J116" s="28"/>
      <c r="K116" s="33"/>
    </row>
    <row r="117" spans="2:11" x14ac:dyDescent="0.3">
      <c r="B117" s="28"/>
      <c r="C117" s="135" t="s">
        <v>251</v>
      </c>
      <c r="D117" s="66" t="e">
        <f t="shared" ca="1" si="15"/>
        <v>#NAME?</v>
      </c>
      <c r="E117" s="66" t="e">
        <f t="shared" ca="1" si="15"/>
        <v>#NAME?</v>
      </c>
      <c r="F117" s="66" t="e">
        <f t="shared" ca="1" si="15"/>
        <v>#NAME?</v>
      </c>
      <c r="G117" s="66" t="e">
        <f t="shared" ca="1" si="15"/>
        <v>#NAME?</v>
      </c>
      <c r="H117" s="66">
        <f t="shared" si="15"/>
        <v>0</v>
      </c>
      <c r="I117" s="66" t="e">
        <f t="shared" ca="1" si="15"/>
        <v>#NAME?</v>
      </c>
      <c r="J117" s="28"/>
      <c r="K117" s="33"/>
    </row>
    <row r="118" spans="2:11" x14ac:dyDescent="0.3">
      <c r="B118" s="28"/>
      <c r="C118" s="28"/>
      <c r="D118" s="28"/>
      <c r="E118" s="28"/>
      <c r="F118" s="28"/>
      <c r="G118" s="28"/>
      <c r="H118" s="28"/>
      <c r="I118" s="28"/>
      <c r="J118" s="28"/>
      <c r="K118" s="33"/>
    </row>
    <row r="119" spans="2:11" ht="17.25" x14ac:dyDescent="0.3">
      <c r="B119" s="28"/>
      <c r="C119" s="199" t="s">
        <v>410</v>
      </c>
      <c r="D119" s="200"/>
      <c r="E119" s="200"/>
      <c r="F119" s="200"/>
      <c r="G119" s="200"/>
      <c r="H119" s="200"/>
      <c r="I119" s="200"/>
      <c r="J119" s="28"/>
      <c r="K119" s="33"/>
    </row>
    <row r="120" spans="2:11" x14ac:dyDescent="0.3">
      <c r="B120" s="28"/>
      <c r="C120" s="51" t="s">
        <v>423</v>
      </c>
      <c r="D120" s="204">
        <f>IF(D13&gt;0,1-D29/D13,0)</f>
        <v>0</v>
      </c>
      <c r="E120" s="204">
        <f t="shared" ref="E120:I120" si="16">IF(E13&gt;0,1-E29/E13,0)</f>
        <v>0</v>
      </c>
      <c r="F120" s="204">
        <f t="shared" si="16"/>
        <v>0</v>
      </c>
      <c r="G120" s="204">
        <f t="shared" si="16"/>
        <v>0</v>
      </c>
      <c r="H120" s="204">
        <f t="shared" si="16"/>
        <v>0</v>
      </c>
      <c r="I120" s="204">
        <f t="shared" si="16"/>
        <v>0</v>
      </c>
      <c r="J120" s="28"/>
      <c r="K120" s="33"/>
    </row>
    <row r="121" spans="2:11" x14ac:dyDescent="0.3">
      <c r="B121" s="28"/>
      <c r="C121" s="203" t="s">
        <v>446</v>
      </c>
      <c r="D121" s="205">
        <f t="shared" ref="D121:I121" si="17">IF(D14&gt;0,1-D30/D14,0)</f>
        <v>0</v>
      </c>
      <c r="E121" s="205">
        <f t="shared" si="17"/>
        <v>0</v>
      </c>
      <c r="F121" s="205">
        <f t="shared" si="17"/>
        <v>0</v>
      </c>
      <c r="G121" s="205">
        <f t="shared" si="17"/>
        <v>0</v>
      </c>
      <c r="H121" s="205">
        <f t="shared" si="17"/>
        <v>0</v>
      </c>
      <c r="I121" s="204">
        <f t="shared" si="17"/>
        <v>0</v>
      </c>
      <c r="J121" s="28"/>
      <c r="K121" s="33"/>
    </row>
    <row r="122" spans="2:11" x14ac:dyDescent="0.3">
      <c r="B122" s="28"/>
      <c r="C122" s="203" t="s">
        <v>3</v>
      </c>
      <c r="D122" s="205">
        <f t="shared" ref="D122:I122" si="18">IF(D15&gt;0,1-D31/D15,0)</f>
        <v>0</v>
      </c>
      <c r="E122" s="205">
        <f t="shared" si="18"/>
        <v>0</v>
      </c>
      <c r="F122" s="205">
        <f t="shared" si="18"/>
        <v>0</v>
      </c>
      <c r="G122" s="205">
        <f t="shared" si="18"/>
        <v>0</v>
      </c>
      <c r="H122" s="205">
        <f t="shared" si="18"/>
        <v>0</v>
      </c>
      <c r="I122" s="204">
        <f t="shared" si="18"/>
        <v>0</v>
      </c>
      <c r="J122" s="28"/>
      <c r="K122" s="33"/>
    </row>
    <row r="123" spans="2:11" x14ac:dyDescent="0.3">
      <c r="B123" s="28"/>
      <c r="C123" s="203" t="s">
        <v>225</v>
      </c>
      <c r="D123" s="205">
        <f t="shared" ref="D123:I123" si="19">IF(D16&gt;0,1-D32/D16,0)</f>
        <v>0</v>
      </c>
      <c r="E123" s="205">
        <f t="shared" si="19"/>
        <v>0</v>
      </c>
      <c r="F123" s="205">
        <f t="shared" si="19"/>
        <v>0</v>
      </c>
      <c r="G123" s="205">
        <f t="shared" si="19"/>
        <v>0</v>
      </c>
      <c r="H123" s="205">
        <f t="shared" si="19"/>
        <v>0</v>
      </c>
      <c r="I123" s="204">
        <f t="shared" si="19"/>
        <v>0</v>
      </c>
      <c r="J123" s="28"/>
      <c r="K123" s="33"/>
    </row>
    <row r="124" spans="2:11" x14ac:dyDescent="0.3">
      <c r="B124" s="28"/>
      <c r="C124" s="203" t="s">
        <v>193</v>
      </c>
      <c r="D124" s="205">
        <f t="shared" ref="D124:I124" si="20">IF(D17&gt;0,1-D33/D17,0)</f>
        <v>0</v>
      </c>
      <c r="E124" s="205">
        <f t="shared" si="20"/>
        <v>0</v>
      </c>
      <c r="F124" s="205">
        <f t="shared" si="20"/>
        <v>0</v>
      </c>
      <c r="G124" s="205">
        <f t="shared" si="20"/>
        <v>0</v>
      </c>
      <c r="H124" s="205">
        <f t="shared" si="20"/>
        <v>0</v>
      </c>
      <c r="I124" s="204">
        <f t="shared" si="20"/>
        <v>0</v>
      </c>
      <c r="J124" s="28"/>
      <c r="K124" s="33"/>
    </row>
    <row r="125" spans="2:11" x14ac:dyDescent="0.3">
      <c r="B125" s="28"/>
      <c r="C125" s="203" t="s">
        <v>546</v>
      </c>
      <c r="D125" s="205">
        <f t="shared" ref="D125:I125" si="21">IF(D18&gt;0,1-D34/D18,0)</f>
        <v>0</v>
      </c>
      <c r="E125" s="205">
        <f t="shared" si="21"/>
        <v>0</v>
      </c>
      <c r="F125" s="205">
        <f t="shared" si="21"/>
        <v>0</v>
      </c>
      <c r="G125" s="205">
        <f t="shared" si="21"/>
        <v>0</v>
      </c>
      <c r="H125" s="205">
        <f t="shared" si="21"/>
        <v>0</v>
      </c>
      <c r="I125" s="204">
        <f t="shared" si="21"/>
        <v>0</v>
      </c>
      <c r="J125" s="28"/>
      <c r="K125" s="33"/>
    </row>
    <row r="126" spans="2:11" x14ac:dyDescent="0.3">
      <c r="B126" s="28"/>
      <c r="C126" s="51" t="s">
        <v>424</v>
      </c>
      <c r="D126" s="205">
        <f t="shared" ref="D126:I126" si="22">IF(D19&gt;0,1-D35/D19,0)</f>
        <v>0</v>
      </c>
      <c r="E126" s="205">
        <f t="shared" si="22"/>
        <v>0</v>
      </c>
      <c r="F126" s="205">
        <f t="shared" si="22"/>
        <v>0</v>
      </c>
      <c r="G126" s="205">
        <f t="shared" si="22"/>
        <v>0</v>
      </c>
      <c r="H126" s="205">
        <f t="shared" si="22"/>
        <v>0</v>
      </c>
      <c r="I126" s="204">
        <f t="shared" si="22"/>
        <v>0</v>
      </c>
      <c r="J126" s="28"/>
      <c r="K126" s="33"/>
    </row>
    <row r="127" spans="2:11" x14ac:dyDescent="0.3">
      <c r="B127" s="28"/>
      <c r="C127" s="51" t="s">
        <v>396</v>
      </c>
      <c r="D127" s="204">
        <f t="shared" ref="D127:I127" si="23">IF(D20&gt;0,1-D36/D20,0)</f>
        <v>0</v>
      </c>
      <c r="E127" s="204">
        <f t="shared" si="23"/>
        <v>0.4</v>
      </c>
      <c r="F127" s="204">
        <f t="shared" si="23"/>
        <v>0.64748201438848918</v>
      </c>
      <c r="G127" s="204">
        <f t="shared" si="23"/>
        <v>0</v>
      </c>
      <c r="H127" s="204">
        <f t="shared" si="23"/>
        <v>0</v>
      </c>
      <c r="I127" s="204">
        <f t="shared" si="23"/>
        <v>0.12605042016806722</v>
      </c>
      <c r="J127" s="28"/>
      <c r="K127" s="33"/>
    </row>
    <row r="128" spans="2:11" x14ac:dyDescent="0.3">
      <c r="B128" s="28"/>
      <c r="C128" s="51" t="s">
        <v>398</v>
      </c>
      <c r="D128" s="204">
        <f t="shared" ref="D128:I128" si="24">IF(D21&gt;0,1-D37/D21,0)</f>
        <v>0</v>
      </c>
      <c r="E128" s="204">
        <f t="shared" si="24"/>
        <v>0</v>
      </c>
      <c r="F128" s="204">
        <f t="shared" si="24"/>
        <v>0</v>
      </c>
      <c r="G128" s="204">
        <f t="shared" si="24"/>
        <v>3.5000000000000031E-2</v>
      </c>
      <c r="H128" s="204">
        <f t="shared" si="24"/>
        <v>0</v>
      </c>
      <c r="I128" s="204">
        <f t="shared" si="24"/>
        <v>3.5000000000000031E-2</v>
      </c>
      <c r="J128" s="28"/>
      <c r="K128" s="33"/>
    </row>
    <row r="129" spans="2:11" x14ac:dyDescent="0.3">
      <c r="B129" s="28"/>
      <c r="C129" s="51" t="s">
        <v>394</v>
      </c>
      <c r="D129" s="204">
        <f t="shared" ref="D129:I129" si="25">IF(D22&gt;0,1-D38/D22,0)</f>
        <v>0</v>
      </c>
      <c r="E129" s="204">
        <f t="shared" si="25"/>
        <v>0</v>
      </c>
      <c r="F129" s="204">
        <f t="shared" si="25"/>
        <v>0</v>
      </c>
      <c r="G129" s="204">
        <f t="shared" si="25"/>
        <v>0</v>
      </c>
      <c r="H129" s="204">
        <f t="shared" si="25"/>
        <v>0</v>
      </c>
      <c r="I129" s="204">
        <f t="shared" si="25"/>
        <v>0</v>
      </c>
      <c r="J129" s="28"/>
      <c r="K129" s="33"/>
    </row>
    <row r="130" spans="2:11" x14ac:dyDescent="0.3">
      <c r="B130" s="28"/>
      <c r="C130" s="51" t="s">
        <v>395</v>
      </c>
      <c r="D130" s="204">
        <f t="shared" ref="D130:I130" si="26">IF(D23&gt;0,1-D39/D23,0)</f>
        <v>0</v>
      </c>
      <c r="E130" s="204">
        <f t="shared" si="26"/>
        <v>0</v>
      </c>
      <c r="F130" s="204">
        <f t="shared" si="26"/>
        <v>0</v>
      </c>
      <c r="G130" s="204">
        <f t="shared" si="26"/>
        <v>0</v>
      </c>
      <c r="H130" s="204">
        <f t="shared" si="26"/>
        <v>0</v>
      </c>
      <c r="I130" s="204">
        <f t="shared" si="26"/>
        <v>0</v>
      </c>
      <c r="J130" s="28"/>
      <c r="K130" s="33"/>
    </row>
    <row r="131" spans="2:11" x14ac:dyDescent="0.3">
      <c r="B131" s="28"/>
      <c r="C131" s="135" t="s">
        <v>250</v>
      </c>
      <c r="D131" s="204">
        <f t="shared" ref="D131:I131" si="27">IF(D24&gt;0,1-D40/D24,0)</f>
        <v>0</v>
      </c>
      <c r="E131" s="204" t="e">
        <f t="shared" ca="1" si="27"/>
        <v>#NAME?</v>
      </c>
      <c r="F131" s="204" t="e">
        <f t="shared" ca="1" si="27"/>
        <v>#NAME?</v>
      </c>
      <c r="G131" s="204" t="e">
        <f t="shared" ca="1" si="27"/>
        <v>#NAME?</v>
      </c>
      <c r="H131" s="204">
        <f t="shared" si="27"/>
        <v>0</v>
      </c>
      <c r="I131" s="204" t="e">
        <f t="shared" ca="1" si="27"/>
        <v>#NAME?</v>
      </c>
      <c r="J131" s="28"/>
      <c r="K131" s="33"/>
    </row>
    <row r="132" spans="2:11" x14ac:dyDescent="0.3">
      <c r="B132" s="28"/>
      <c r="C132" s="135" t="s">
        <v>251</v>
      </c>
      <c r="D132" s="204">
        <f t="shared" ref="D132:I132" si="28">IF(D25&gt;0,1-D41/D25,0)</f>
        <v>0</v>
      </c>
      <c r="E132" s="204" t="e">
        <f t="shared" ca="1" si="28"/>
        <v>#NAME?</v>
      </c>
      <c r="F132" s="204" t="e">
        <f t="shared" ca="1" si="28"/>
        <v>#NAME?</v>
      </c>
      <c r="G132" s="204" t="e">
        <f t="shared" ca="1" si="28"/>
        <v>#NAME?</v>
      </c>
      <c r="H132" s="204">
        <f t="shared" si="28"/>
        <v>0</v>
      </c>
      <c r="I132" s="204" t="e">
        <f t="shared" ca="1" si="28"/>
        <v>#NAME?</v>
      </c>
      <c r="J132" s="28"/>
      <c r="K132" s="33"/>
    </row>
    <row r="133" spans="2:11" x14ac:dyDescent="0.3">
      <c r="B133" s="28"/>
      <c r="C133" s="28"/>
      <c r="D133" s="28"/>
      <c r="E133" s="28"/>
      <c r="F133" s="28"/>
      <c r="G133" s="28"/>
      <c r="H133" s="28"/>
      <c r="I133" s="28"/>
      <c r="J133" s="28"/>
      <c r="K133" s="33"/>
    </row>
    <row r="134" spans="2:11" x14ac:dyDescent="0.3">
      <c r="B134" s="28"/>
      <c r="C134" s="45" t="s">
        <v>548</v>
      </c>
      <c r="D134" s="45" t="s">
        <v>137</v>
      </c>
      <c r="E134" s="45" t="s">
        <v>137</v>
      </c>
      <c r="F134" s="45" t="s">
        <v>137</v>
      </c>
      <c r="G134" s="45" t="s">
        <v>137</v>
      </c>
      <c r="H134" s="45" t="s">
        <v>137</v>
      </c>
      <c r="I134" s="45" t="s">
        <v>409</v>
      </c>
      <c r="J134" s="28"/>
      <c r="K134" s="33"/>
    </row>
    <row r="135" spans="2:11" x14ac:dyDescent="0.3">
      <c r="B135" s="28"/>
      <c r="C135" s="195" t="s">
        <v>190</v>
      </c>
      <c r="D135" s="248">
        <f>'5. Service Cost'!D6</f>
        <v>2000000</v>
      </c>
      <c r="E135" s="248">
        <f>'5. Service Cost'!E6</f>
        <v>2000000</v>
      </c>
      <c r="F135" s="248">
        <f>'5. Service Cost'!F6</f>
        <v>0</v>
      </c>
      <c r="G135" s="248">
        <f>'5. Service Cost'!G6</f>
        <v>0</v>
      </c>
      <c r="H135" s="248">
        <f>'5. Service Cost'!H6</f>
        <v>0</v>
      </c>
      <c r="I135" s="248">
        <f>SUM(D135:H135)</f>
        <v>4000000</v>
      </c>
      <c r="J135" s="28"/>
      <c r="K135" s="33"/>
    </row>
    <row r="136" spans="2:11" x14ac:dyDescent="0.3">
      <c r="B136" s="28"/>
      <c r="C136" s="47" t="s">
        <v>192</v>
      </c>
      <c r="D136" s="248">
        <f>'5. Service Cost'!D7</f>
        <v>1000000</v>
      </c>
      <c r="E136" s="248">
        <f>'5. Service Cost'!E7</f>
        <v>1000000</v>
      </c>
      <c r="F136" s="248">
        <f>'5. Service Cost'!F7</f>
        <v>0</v>
      </c>
      <c r="G136" s="248">
        <f>'5. Service Cost'!G7</f>
        <v>0</v>
      </c>
      <c r="H136" s="248">
        <f>'5. Service Cost'!H7</f>
        <v>0</v>
      </c>
      <c r="I136" s="248">
        <f t="shared" ref="I136:I145" si="29">SUM(D136:H136)</f>
        <v>2000000</v>
      </c>
      <c r="J136" s="28"/>
      <c r="K136" s="33"/>
    </row>
    <row r="137" spans="2:11" x14ac:dyDescent="0.3">
      <c r="B137" s="28"/>
      <c r="C137" s="47" t="s">
        <v>234</v>
      </c>
      <c r="D137" s="248">
        <f>'5. Service Cost'!D8</f>
        <v>0</v>
      </c>
      <c r="E137" s="248">
        <f>'5. Service Cost'!E8</f>
        <v>0</v>
      </c>
      <c r="F137" s="248">
        <f>'5. Service Cost'!F8</f>
        <v>0</v>
      </c>
      <c r="G137" s="248">
        <f>'5. Service Cost'!G8</f>
        <v>0</v>
      </c>
      <c r="H137" s="248">
        <f>'5. Service Cost'!H8</f>
        <v>0</v>
      </c>
      <c r="I137" s="248">
        <f t="shared" si="29"/>
        <v>0</v>
      </c>
      <c r="J137" s="28"/>
      <c r="K137" s="33"/>
    </row>
    <row r="138" spans="2:11" x14ac:dyDescent="0.3">
      <c r="B138" s="28"/>
      <c r="C138" s="47" t="s">
        <v>235</v>
      </c>
      <c r="D138" s="248">
        <f>'5. Service Cost'!D9</f>
        <v>0</v>
      </c>
      <c r="E138" s="248">
        <f>'5. Service Cost'!E9</f>
        <v>0</v>
      </c>
      <c r="F138" s="248">
        <f>'5. Service Cost'!F9</f>
        <v>0</v>
      </c>
      <c r="G138" s="248">
        <f>'5. Service Cost'!G9</f>
        <v>0</v>
      </c>
      <c r="H138" s="248">
        <f>'5. Service Cost'!H9</f>
        <v>0</v>
      </c>
      <c r="I138" s="248">
        <f t="shared" si="29"/>
        <v>0</v>
      </c>
      <c r="J138" s="28"/>
      <c r="K138" s="33"/>
    </row>
    <row r="139" spans="2:11" x14ac:dyDescent="0.3">
      <c r="B139" s="28"/>
      <c r="C139" s="47" t="s">
        <v>240</v>
      </c>
      <c r="D139" s="248">
        <f>'5. Service Cost'!D10</f>
        <v>0</v>
      </c>
      <c r="E139" s="248">
        <f>'5. Service Cost'!E10</f>
        <v>0</v>
      </c>
      <c r="F139" s="248">
        <f>'5. Service Cost'!F10</f>
        <v>0</v>
      </c>
      <c r="G139" s="248">
        <f>'5. Service Cost'!G10</f>
        <v>0</v>
      </c>
      <c r="H139" s="248">
        <f>'5. Service Cost'!H10</f>
        <v>0</v>
      </c>
      <c r="I139" s="248">
        <f t="shared" si="29"/>
        <v>0</v>
      </c>
      <c r="J139" s="28"/>
      <c r="K139" s="33"/>
    </row>
    <row r="140" spans="2:11" x14ac:dyDescent="0.3">
      <c r="B140" s="28"/>
      <c r="C140" s="47" t="s">
        <v>400</v>
      </c>
      <c r="D140" s="248">
        <f>'5. Service Cost'!D11</f>
        <v>0</v>
      </c>
      <c r="E140" s="248">
        <f>'5. Service Cost'!E11</f>
        <v>0</v>
      </c>
      <c r="F140" s="248">
        <f>'5. Service Cost'!F11</f>
        <v>0</v>
      </c>
      <c r="G140" s="248">
        <f>'5. Service Cost'!G11</f>
        <v>0</v>
      </c>
      <c r="H140" s="248">
        <f>'5. Service Cost'!H11</f>
        <v>0</v>
      </c>
      <c r="I140" s="248">
        <f t="shared" si="29"/>
        <v>0</v>
      </c>
      <c r="J140" s="28"/>
      <c r="K140" s="33"/>
    </row>
    <row r="141" spans="2:11" x14ac:dyDescent="0.3">
      <c r="B141" s="28"/>
      <c r="C141" s="47" t="s">
        <v>399</v>
      </c>
      <c r="D141" s="248">
        <f>'5. Service Cost'!D12</f>
        <v>0</v>
      </c>
      <c r="E141" s="248">
        <f>'5. Service Cost'!E12</f>
        <v>0</v>
      </c>
      <c r="F141" s="248">
        <f>'5. Service Cost'!F12</f>
        <v>0</v>
      </c>
      <c r="G141" s="248">
        <f>'5. Service Cost'!G12</f>
        <v>0</v>
      </c>
      <c r="H141" s="248">
        <f>'5. Service Cost'!H12</f>
        <v>0</v>
      </c>
      <c r="I141" s="248">
        <f t="shared" si="29"/>
        <v>0</v>
      </c>
      <c r="J141" s="28"/>
      <c r="K141" s="33"/>
    </row>
    <row r="142" spans="2:11" x14ac:dyDescent="0.3">
      <c r="B142" s="28"/>
      <c r="C142" s="47" t="s">
        <v>122</v>
      </c>
      <c r="D142" s="248">
        <f>'5. Service Cost'!D13</f>
        <v>1000000</v>
      </c>
      <c r="E142" s="248">
        <f>'5. Service Cost'!E13</f>
        <v>1000000</v>
      </c>
      <c r="F142" s="248">
        <f>'5. Service Cost'!F13</f>
        <v>0</v>
      </c>
      <c r="G142" s="248">
        <f>'5. Service Cost'!G13</f>
        <v>0</v>
      </c>
      <c r="H142" s="248">
        <f>'5. Service Cost'!H13</f>
        <v>0</v>
      </c>
      <c r="I142" s="248">
        <f t="shared" si="29"/>
        <v>2000000</v>
      </c>
      <c r="J142" s="28"/>
      <c r="K142" s="33"/>
    </row>
    <row r="143" spans="2:11" x14ac:dyDescent="0.3">
      <c r="B143" s="28"/>
      <c r="C143" s="195" t="s">
        <v>191</v>
      </c>
      <c r="D143" s="248">
        <f>'5. Service Cost'!D14</f>
        <v>120</v>
      </c>
      <c r="E143" s="248">
        <f>'5. Service Cost'!E14</f>
        <v>120</v>
      </c>
      <c r="F143" s="248">
        <f>'5. Service Cost'!F14</f>
        <v>0</v>
      </c>
      <c r="G143" s="248">
        <f>'5. Service Cost'!G14</f>
        <v>0</v>
      </c>
      <c r="H143" s="248">
        <f>'5. Service Cost'!H14</f>
        <v>0</v>
      </c>
      <c r="I143" s="248">
        <f t="shared" si="29"/>
        <v>240</v>
      </c>
      <c r="J143" s="28"/>
      <c r="K143" s="33"/>
    </row>
    <row r="144" spans="2:11" x14ac:dyDescent="0.3">
      <c r="B144" s="28"/>
      <c r="C144" s="47" t="s">
        <v>252</v>
      </c>
      <c r="D144" s="248">
        <f>'5. Service Cost'!D15</f>
        <v>120</v>
      </c>
      <c r="E144" s="248">
        <f>'5. Service Cost'!E15</f>
        <v>120</v>
      </c>
      <c r="F144" s="248">
        <f>'5. Service Cost'!F15</f>
        <v>0</v>
      </c>
      <c r="G144" s="248">
        <f>'5. Service Cost'!G15</f>
        <v>0</v>
      </c>
      <c r="H144" s="248">
        <f>'5. Service Cost'!H15</f>
        <v>0</v>
      </c>
      <c r="I144" s="248">
        <f t="shared" si="29"/>
        <v>240</v>
      </c>
      <c r="J144" s="28"/>
      <c r="K144" s="33"/>
    </row>
    <row r="145" spans="2:11" x14ac:dyDescent="0.3">
      <c r="B145" s="28"/>
      <c r="C145" s="47" t="s">
        <v>122</v>
      </c>
      <c r="D145" s="248">
        <f>'5. Service Cost'!D16</f>
        <v>0</v>
      </c>
      <c r="E145" s="248">
        <f>'5. Service Cost'!E16</f>
        <v>0</v>
      </c>
      <c r="F145" s="248">
        <f>'5. Service Cost'!F16</f>
        <v>0</v>
      </c>
      <c r="G145" s="248">
        <f>'5. Service Cost'!G16</f>
        <v>0</v>
      </c>
      <c r="H145" s="248">
        <f>'5. Service Cost'!H16</f>
        <v>0</v>
      </c>
      <c r="I145" s="248">
        <f t="shared" si="29"/>
        <v>0</v>
      </c>
      <c r="J145" s="28"/>
      <c r="K145" s="33"/>
    </row>
    <row r="146" spans="2:11" x14ac:dyDescent="0.3">
      <c r="B146" s="28"/>
      <c r="C146" s="28"/>
      <c r="D146" s="28"/>
      <c r="E146" s="28"/>
      <c r="F146" s="28"/>
      <c r="G146" s="28"/>
      <c r="H146" s="28"/>
      <c r="I146" s="28"/>
      <c r="J146" s="28"/>
      <c r="K146" s="33"/>
    </row>
  </sheetData>
  <sheetProtection sheet="1" formatCells="0" formatColumns="0" formatRows="0"/>
  <mergeCells count="2">
    <mergeCell ref="B1:J1"/>
    <mergeCell ref="B2:J2"/>
  </mergeCell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 id="{D28D58F9-8697-4AF8-B06D-885956503E61}">
            <xm:f>Currency=Reference!$G$11</xm:f>
            <x14:dxf>
              <numFmt numFmtId="177" formatCode="[$DKK]\ #,##0.00_);[Red]\([$DKK]\ #,##0.00\)"/>
            </x14:dxf>
          </x14:cfRule>
          <x14:cfRule type="expression" priority="4" id="{3B5F00B6-73D7-4AF2-A50F-3339CF516BDD}">
            <xm:f>Currency=Reference!$G$10</xm:f>
            <x14:dxf>
              <numFmt numFmtId="176" formatCode="[$JPY]\ #,##0.00_);[Red]\([$JPY]\ #,##0.00\)"/>
            </x14:dxf>
          </x14:cfRule>
          <x14:cfRule type="expression" priority="5" id="{BF30C83E-D2F2-402D-AA9C-27E104793EF4}">
            <xm:f>Currency=Reference!$G$9</xm:f>
            <x14:dxf>
              <numFmt numFmtId="175" formatCode="[$CAD]\ #,##0.00_);[Red]\([$CAD]\ #,##0.00\)"/>
            </x14:dxf>
          </x14:cfRule>
          <x14:cfRule type="expression" priority="6" id="{A1664A97-DB18-4E96-81EC-73019EA2C928}">
            <xm:f>Currency=Reference!$G$8</xm:f>
            <x14:dxf>
              <numFmt numFmtId="174" formatCode="[$HKD]\ #,##0.00_);[Red]\([$HKD]\ #,##0.00\)"/>
            </x14:dxf>
          </x14:cfRule>
          <x14:cfRule type="expression" priority="7" id="{2470718C-B4E3-4064-9EDE-257043C3B0E7}">
            <xm:f>Currency=Reference!$G$6</xm:f>
            <x14:dxf>
              <numFmt numFmtId="173" formatCode="[$GBP]\ #,##0.00_);[Red]\([$GBP]\ #,##0.00\)"/>
            </x14:dxf>
          </x14:cfRule>
          <x14:cfRule type="expression" priority="8" id="{48E2DD29-5310-4197-B230-D5D927D2A9E1}">
            <xm:f>Currency=Reference!$G$5</xm:f>
            <x14:dxf>
              <numFmt numFmtId="172" formatCode="[$EUR]\ #,##0.00_);[Red]\([$EUR]\ #,##0.00\)"/>
            </x14:dxf>
          </x14:cfRule>
          <x14:cfRule type="expression" priority="9" id="{8655E5F4-1C4E-4D54-8746-54BE5A06C931}">
            <xm:f>Currency=Reference!$G$4</xm:f>
            <x14:dxf>
              <numFmt numFmtId="171" formatCode="[$AUD]\ #,##0.00_);[Red]\([$AUD]\ #,##0.00\)"/>
            </x14:dxf>
          </x14:cfRule>
          <x14:cfRule type="expression" priority="10" id="{2706E3FF-7502-4021-8966-31B2428B2E7E}">
            <xm:f>Currency=Reference!$G$3</xm:f>
            <x14:dxf>
              <numFmt numFmtId="170" formatCode="[$NZD]\ #,##0.00_);[Red]\([$NZD]\ #,##0.00\)"/>
            </x14:dxf>
          </x14:cfRule>
          <xm:sqref>D135:I145 D105:I117 D13:I25 D29:I41</xm:sqref>
        </x14:conditionalFormatting>
        <x14:conditionalFormatting xmlns:xm="http://schemas.microsoft.com/office/excel/2006/main">
          <x14:cfRule type="expression" priority="2" id="{FC4FDC4E-4CF6-4235-B447-7441EC7105B8}">
            <xm:f>OR('4. Infrastructure Cost'!D$98=Reference!$AF$3,'4. Infrastructure Cost'!D$98="")</xm:f>
            <x14:dxf>
              <font>
                <color theme="1" tint="0.499984740745262"/>
              </font>
              <fill>
                <patternFill>
                  <bgColor theme="1" tint="0.499984740745262"/>
                </patternFill>
              </fill>
            </x14:dxf>
          </x14:cfRule>
          <xm:sqref>D71:H73</xm:sqref>
        </x14:conditionalFormatting>
        <x14:conditionalFormatting xmlns:xm="http://schemas.microsoft.com/office/excel/2006/main">
          <x14:cfRule type="expression" priority="1" id="{8944B10F-999B-42E2-8031-DE73A6668B90}">
            <xm:f>OR('4. Infrastructure Cost'!D$98=Reference!$AF$4,'4. Infrastructure Cost'!D$98="")</xm:f>
            <x14:dxf>
              <font>
                <color theme="1" tint="0.499984740745262"/>
              </font>
              <fill>
                <patternFill>
                  <bgColor theme="1" tint="0.499984740745262"/>
                </patternFill>
              </fill>
            </x14:dxf>
          </x14:cfRule>
          <xm:sqref>D76:H77 D79:H83 D85:H86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CA012-ABEF-49C0-BEDD-8837614C0F03}">
  <sheetPr codeName="Sheet15"/>
  <dimension ref="B1:AH37"/>
  <sheetViews>
    <sheetView showGridLines="0" zoomScale="85" zoomScaleNormal="85" workbookViewId="0"/>
  </sheetViews>
  <sheetFormatPr defaultColWidth="8.85546875" defaultRowHeight="16.5" x14ac:dyDescent="0.25"/>
  <cols>
    <col min="1" max="1" width="1.85546875" style="113" customWidth="1"/>
    <col min="2" max="2" width="30.85546875" style="113" customWidth="1"/>
    <col min="3" max="3" width="65.5703125" style="113" customWidth="1"/>
    <col min="4" max="4" width="1.85546875" style="113" customWidth="1"/>
    <col min="5" max="5" width="22.28515625" style="113" customWidth="1"/>
    <col min="6" max="6" width="20.5703125" style="113" bestFit="1" customWidth="1"/>
    <col min="7" max="7" width="13.140625" style="113" bestFit="1" customWidth="1"/>
    <col min="8" max="8" width="11.5703125" style="113" bestFit="1" customWidth="1"/>
    <col min="9" max="9" width="20.42578125" style="113" bestFit="1" customWidth="1"/>
    <col min="10" max="10" width="1.85546875" style="113" customWidth="1"/>
    <col min="11" max="11" width="9.5703125" style="113" bestFit="1" customWidth="1"/>
    <col min="12" max="12" width="22.28515625" style="113" bestFit="1" customWidth="1"/>
    <col min="13" max="13" width="9.5703125" style="113" customWidth="1"/>
    <col min="14" max="14" width="16.140625" style="113" bestFit="1" customWidth="1"/>
    <col min="15" max="15" width="18" style="113" bestFit="1" customWidth="1"/>
    <col min="16" max="16" width="22" style="113" bestFit="1" customWidth="1"/>
    <col min="17" max="17" width="27.85546875" style="113" bestFit="1" customWidth="1"/>
    <col min="18" max="18" width="1.85546875" style="113" customWidth="1"/>
    <col min="19" max="19" width="22.140625" style="113" bestFit="1" customWidth="1"/>
    <col min="20" max="20" width="25.42578125" style="113" bestFit="1" customWidth="1"/>
    <col min="21" max="21" width="31" style="113" bestFit="1" customWidth="1"/>
    <col min="22" max="22" width="28.42578125" style="113" bestFit="1" customWidth="1"/>
    <col min="23" max="23" width="19" style="113" bestFit="1" customWidth="1"/>
    <col min="24" max="24" width="17.5703125" style="113" bestFit="1" customWidth="1"/>
    <col min="25" max="25" width="15.140625" style="113" bestFit="1" customWidth="1"/>
    <col min="26" max="26" width="22" style="113" bestFit="1" customWidth="1"/>
    <col min="27" max="27" width="23.85546875" style="113" bestFit="1" customWidth="1"/>
    <col min="28" max="28" width="30" style="113" bestFit="1" customWidth="1"/>
    <col min="29" max="29" width="9" style="113" bestFit="1" customWidth="1"/>
    <col min="30" max="30" width="35.140625" style="113" bestFit="1" customWidth="1"/>
    <col min="31" max="31" width="35.140625" style="113" customWidth="1"/>
    <col min="32" max="32" width="18.28515625" style="113" bestFit="1" customWidth="1"/>
    <col min="33" max="33" width="37.28515625" style="113" bestFit="1" customWidth="1"/>
    <col min="34" max="34" width="34.7109375" style="113" bestFit="1" customWidth="1"/>
    <col min="35" max="16384" width="8.85546875" style="113"/>
  </cols>
  <sheetData>
    <row r="1" spans="2:34" ht="8.4499999999999993" customHeight="1" x14ac:dyDescent="0.25"/>
    <row r="2" spans="2:34" s="208" customFormat="1" ht="39" customHeight="1" x14ac:dyDescent="0.25">
      <c r="B2" s="156" t="s">
        <v>422</v>
      </c>
      <c r="C2" s="213"/>
      <c r="E2" s="216" t="s">
        <v>18</v>
      </c>
      <c r="F2" s="216" t="s">
        <v>12</v>
      </c>
      <c r="G2" s="216" t="s">
        <v>19</v>
      </c>
      <c r="H2" s="216" t="s">
        <v>113</v>
      </c>
      <c r="I2" s="216" t="s">
        <v>124</v>
      </c>
      <c r="J2" s="142"/>
      <c r="K2" s="216" t="s">
        <v>60</v>
      </c>
      <c r="L2" s="216" t="s">
        <v>452</v>
      </c>
      <c r="M2" s="216" t="s">
        <v>60</v>
      </c>
      <c r="N2" s="216" t="s">
        <v>144</v>
      </c>
      <c r="O2" s="216" t="s">
        <v>161</v>
      </c>
      <c r="P2" s="216" t="s">
        <v>168</v>
      </c>
      <c r="Q2" s="216" t="s">
        <v>165</v>
      </c>
      <c r="S2" s="216" t="s">
        <v>171</v>
      </c>
      <c r="T2" s="216" t="s">
        <v>7</v>
      </c>
      <c r="U2" s="216" t="s">
        <v>196</v>
      </c>
      <c r="V2" s="216" t="s">
        <v>197</v>
      </c>
      <c r="W2" s="216" t="s">
        <v>203</v>
      </c>
      <c r="X2" s="216" t="s">
        <v>204</v>
      </c>
      <c r="Y2" s="216" t="s">
        <v>212</v>
      </c>
      <c r="Z2" s="216" t="s">
        <v>219</v>
      </c>
      <c r="AA2" s="216" t="s">
        <v>228</v>
      </c>
      <c r="AB2" s="216" t="s">
        <v>241</v>
      </c>
      <c r="AC2" s="216" t="s">
        <v>254</v>
      </c>
      <c r="AD2" s="360" t="s">
        <v>329</v>
      </c>
      <c r="AE2" s="363" t="s">
        <v>257</v>
      </c>
      <c r="AF2" s="361" t="s">
        <v>470</v>
      </c>
      <c r="AG2" s="290" t="s">
        <v>474</v>
      </c>
      <c r="AH2" s="290" t="s">
        <v>477</v>
      </c>
    </row>
    <row r="3" spans="2:34" x14ac:dyDescent="0.25">
      <c r="E3" s="116" t="s">
        <v>20</v>
      </c>
      <c r="F3" s="116" t="s">
        <v>21</v>
      </c>
      <c r="G3" s="209" t="s">
        <v>22</v>
      </c>
      <c r="H3" s="116" t="s">
        <v>114</v>
      </c>
      <c r="I3" s="116" t="s">
        <v>200</v>
      </c>
      <c r="K3" s="217">
        <v>0</v>
      </c>
      <c r="L3" s="217" t="s">
        <v>453</v>
      </c>
      <c r="M3" s="217">
        <v>0</v>
      </c>
      <c r="N3" s="116" t="s">
        <v>145</v>
      </c>
      <c r="O3" s="116" t="s">
        <v>162</v>
      </c>
      <c r="P3" s="116" t="s">
        <v>6</v>
      </c>
      <c r="Q3" s="116" t="s">
        <v>6</v>
      </c>
      <c r="S3" s="116" t="s">
        <v>10</v>
      </c>
      <c r="T3" s="116" t="s">
        <v>187</v>
      </c>
      <c r="U3" s="116" t="s">
        <v>4</v>
      </c>
      <c r="V3" s="116" t="s">
        <v>164</v>
      </c>
      <c r="W3" s="116" t="s">
        <v>205</v>
      </c>
      <c r="X3" s="116" t="s">
        <v>208</v>
      </c>
      <c r="Y3" s="116" t="s">
        <v>208</v>
      </c>
      <c r="Z3" s="116" t="s">
        <v>220</v>
      </c>
      <c r="AA3" s="116" t="s">
        <v>229</v>
      </c>
      <c r="AB3" s="116" t="s">
        <v>242</v>
      </c>
      <c r="AC3" s="116" t="s">
        <v>248</v>
      </c>
      <c r="AD3" s="289" t="s">
        <v>330</v>
      </c>
      <c r="AE3" s="291">
        <v>32</v>
      </c>
      <c r="AF3" s="362" t="s">
        <v>471</v>
      </c>
      <c r="AG3" s="291" t="s">
        <v>476</v>
      </c>
      <c r="AH3" s="291" t="s">
        <v>478</v>
      </c>
    </row>
    <row r="4" spans="2:34" ht="25.5" x14ac:dyDescent="0.25">
      <c r="B4" s="212" t="s">
        <v>25</v>
      </c>
      <c r="C4" s="210"/>
      <c r="E4" s="116" t="s">
        <v>23</v>
      </c>
      <c r="F4" s="116" t="s">
        <v>24</v>
      </c>
      <c r="G4" s="209" t="s">
        <v>15</v>
      </c>
      <c r="H4" s="116" t="s">
        <v>115</v>
      </c>
      <c r="I4" s="116" t="s">
        <v>201</v>
      </c>
      <c r="K4" s="217">
        <v>1</v>
      </c>
      <c r="L4" s="217" t="s">
        <v>454</v>
      </c>
      <c r="M4" s="217">
        <v>1</v>
      </c>
      <c r="N4" s="116" t="s">
        <v>146</v>
      </c>
      <c r="O4" s="116" t="s">
        <v>163</v>
      </c>
      <c r="P4" s="116" t="s">
        <v>169</v>
      </c>
      <c r="Q4" s="116" t="s">
        <v>169</v>
      </c>
      <c r="S4" s="116" t="s">
        <v>174</v>
      </c>
      <c r="T4" s="116" t="s">
        <v>188</v>
      </c>
      <c r="U4" s="116" t="s">
        <v>131</v>
      </c>
      <c r="V4" s="116" t="s">
        <v>4</v>
      </c>
      <c r="W4" s="116" t="s">
        <v>206</v>
      </c>
      <c r="X4" s="116" t="s">
        <v>1</v>
      </c>
      <c r="Y4" s="116" t="s">
        <v>1</v>
      </c>
      <c r="Z4" s="116" t="s">
        <v>221</v>
      </c>
      <c r="AA4" s="116" t="s">
        <v>230</v>
      </c>
      <c r="AB4" s="116" t="s">
        <v>243</v>
      </c>
      <c r="AC4" s="116" t="s">
        <v>255</v>
      </c>
      <c r="AD4" s="289" t="s">
        <v>331</v>
      </c>
      <c r="AE4" s="291">
        <v>64</v>
      </c>
      <c r="AF4" s="362" t="s">
        <v>472</v>
      </c>
      <c r="AG4" s="291" t="s">
        <v>475</v>
      </c>
      <c r="AH4" s="291" t="s">
        <v>479</v>
      </c>
    </row>
    <row r="5" spans="2:34" ht="16.899999999999999" customHeight="1" x14ac:dyDescent="0.25">
      <c r="B5" s="214" t="s">
        <v>11</v>
      </c>
      <c r="C5" s="236"/>
      <c r="D5" s="210"/>
      <c r="E5" s="116" t="s">
        <v>26</v>
      </c>
      <c r="F5" s="116" t="s">
        <v>27</v>
      </c>
      <c r="G5" s="209" t="s">
        <v>28</v>
      </c>
      <c r="H5" s="116" t="s">
        <v>116</v>
      </c>
      <c r="I5" s="116"/>
      <c r="K5" s="217">
        <v>3</v>
      </c>
      <c r="L5" s="217" t="s">
        <v>455</v>
      </c>
      <c r="M5" s="217">
        <v>3</v>
      </c>
      <c r="N5" s="116"/>
      <c r="O5" s="116" t="s">
        <v>160</v>
      </c>
      <c r="P5" s="116" t="s">
        <v>172</v>
      </c>
      <c r="Q5" s="116" t="s">
        <v>170</v>
      </c>
      <c r="S5" s="116"/>
      <c r="T5" s="116" t="s">
        <v>189</v>
      </c>
      <c r="U5" s="116" t="s">
        <v>195</v>
      </c>
      <c r="V5" s="116" t="s">
        <v>131</v>
      </c>
      <c r="W5" s="116"/>
      <c r="X5" s="116" t="s">
        <v>207</v>
      </c>
      <c r="Y5" s="116" t="s">
        <v>207</v>
      </c>
      <c r="Z5" s="116" t="s">
        <v>222</v>
      </c>
      <c r="AA5" s="116"/>
      <c r="AB5" s="116"/>
      <c r="AC5" s="116"/>
      <c r="AD5" s="289"/>
      <c r="AE5" s="291">
        <v>127</v>
      </c>
      <c r="AF5" s="362"/>
      <c r="AG5" s="291"/>
      <c r="AH5" s="291" t="s">
        <v>480</v>
      </c>
    </row>
    <row r="6" spans="2:34" ht="33" customHeight="1" x14ac:dyDescent="0.25">
      <c r="B6" s="377" t="s">
        <v>32</v>
      </c>
      <c r="C6" s="377"/>
      <c r="E6" s="116" t="s">
        <v>29</v>
      </c>
      <c r="F6" s="116" t="s">
        <v>30</v>
      </c>
      <c r="G6" s="209" t="s">
        <v>31</v>
      </c>
      <c r="H6" s="116"/>
      <c r="I6" s="116"/>
      <c r="K6" s="217"/>
      <c r="L6" s="217"/>
      <c r="M6" s="217"/>
      <c r="N6" s="116"/>
      <c r="O6" s="116"/>
      <c r="P6" s="116" t="s">
        <v>170</v>
      </c>
      <c r="Q6" s="116" t="s">
        <v>166</v>
      </c>
      <c r="S6" s="116"/>
      <c r="T6" s="116" t="s">
        <v>368</v>
      </c>
      <c r="U6" s="116"/>
      <c r="V6" s="116"/>
      <c r="W6" s="116"/>
      <c r="X6" s="116" t="s">
        <v>209</v>
      </c>
      <c r="Y6" s="116" t="s">
        <v>213</v>
      </c>
      <c r="Z6" s="116" t="s">
        <v>223</v>
      </c>
      <c r="AA6" s="116"/>
      <c r="AB6" s="116"/>
      <c r="AC6" s="116"/>
      <c r="AD6" s="289"/>
      <c r="AE6" s="291"/>
      <c r="AF6" s="362"/>
      <c r="AG6" s="291"/>
      <c r="AH6" s="291"/>
    </row>
    <row r="7" spans="2:34" x14ac:dyDescent="0.25">
      <c r="B7" s="116" t="s">
        <v>33</v>
      </c>
      <c r="C7" s="116"/>
      <c r="E7" s="116" t="s">
        <v>14</v>
      </c>
      <c r="F7" s="116" t="s">
        <v>13</v>
      </c>
      <c r="G7" s="209" t="s">
        <v>13</v>
      </c>
      <c r="H7" s="116"/>
      <c r="I7" s="116"/>
      <c r="K7" s="217"/>
      <c r="L7" s="217"/>
      <c r="M7" s="217"/>
      <c r="N7" s="116"/>
      <c r="O7" s="116"/>
      <c r="P7" s="116" t="s">
        <v>173</v>
      </c>
      <c r="Q7" s="116"/>
      <c r="S7" s="116"/>
      <c r="T7" s="116"/>
      <c r="U7" s="116"/>
      <c r="V7" s="116"/>
      <c r="W7" s="116"/>
      <c r="X7" s="116"/>
      <c r="Y7" s="116"/>
      <c r="Z7" s="116" t="s">
        <v>281</v>
      </c>
      <c r="AA7" s="116"/>
      <c r="AB7" s="116"/>
      <c r="AC7" s="116"/>
      <c r="AD7" s="289"/>
      <c r="AE7" s="291"/>
      <c r="AF7" s="362"/>
      <c r="AG7" s="291"/>
      <c r="AH7" s="291"/>
    </row>
    <row r="8" spans="2:34" x14ac:dyDescent="0.25">
      <c r="B8" s="116" t="s">
        <v>36</v>
      </c>
      <c r="C8" s="116"/>
      <c r="E8" s="116" t="s">
        <v>34</v>
      </c>
      <c r="F8" s="116" t="s">
        <v>35</v>
      </c>
      <c r="G8" s="209" t="s">
        <v>35</v>
      </c>
      <c r="H8" s="116"/>
      <c r="I8" s="116"/>
      <c r="K8" s="217"/>
      <c r="L8" s="217"/>
      <c r="M8" s="217"/>
      <c r="N8" s="116"/>
      <c r="O8" s="116"/>
      <c r="P8" s="116" t="s">
        <v>166</v>
      </c>
      <c r="Q8" s="116"/>
      <c r="S8" s="116"/>
      <c r="T8" s="116"/>
      <c r="U8" s="116"/>
      <c r="V8" s="116"/>
      <c r="W8" s="116"/>
      <c r="X8" s="116"/>
      <c r="Y8" s="116"/>
      <c r="Z8" s="116"/>
      <c r="AA8" s="116"/>
      <c r="AB8" s="116"/>
      <c r="AC8" s="116"/>
      <c r="AD8" s="289"/>
      <c r="AE8" s="291"/>
      <c r="AF8" s="362"/>
      <c r="AG8" s="291"/>
      <c r="AH8" s="291"/>
    </row>
    <row r="9" spans="2:34" x14ac:dyDescent="0.25">
      <c r="E9" s="116" t="s">
        <v>37</v>
      </c>
      <c r="F9" s="116" t="s">
        <v>38</v>
      </c>
      <c r="G9" s="209" t="s">
        <v>39</v>
      </c>
      <c r="H9" s="116"/>
      <c r="I9" s="116"/>
    </row>
    <row r="10" spans="2:34" x14ac:dyDescent="0.25">
      <c r="B10" s="214" t="s">
        <v>43</v>
      </c>
      <c r="C10" s="236"/>
      <c r="E10" s="116" t="s">
        <v>40</v>
      </c>
      <c r="F10" s="116" t="s">
        <v>41</v>
      </c>
      <c r="G10" s="209" t="s">
        <v>42</v>
      </c>
      <c r="H10" s="116"/>
      <c r="I10" s="116"/>
    </row>
    <row r="11" spans="2:34" x14ac:dyDescent="0.25">
      <c r="B11" s="207" t="s">
        <v>47</v>
      </c>
      <c r="C11" s="116" t="s">
        <v>48</v>
      </c>
      <c r="E11" s="116" t="s">
        <v>44</v>
      </c>
      <c r="F11" s="116" t="s">
        <v>45</v>
      </c>
      <c r="G11" s="209" t="s">
        <v>46</v>
      </c>
      <c r="H11" s="116"/>
      <c r="I11" s="116"/>
    </row>
    <row r="12" spans="2:34" x14ac:dyDescent="0.25">
      <c r="B12" s="209" t="s">
        <v>50</v>
      </c>
      <c r="C12" s="125" t="s">
        <v>51</v>
      </c>
      <c r="E12" s="116" t="s">
        <v>49</v>
      </c>
    </row>
    <row r="13" spans="2:34" x14ac:dyDescent="0.25">
      <c r="B13" s="209" t="s">
        <v>53</v>
      </c>
      <c r="C13" s="116" t="s">
        <v>54</v>
      </c>
      <c r="E13" s="116" t="s">
        <v>52</v>
      </c>
    </row>
    <row r="14" spans="2:34" x14ac:dyDescent="0.25">
      <c r="B14" s="209" t="s">
        <v>56</v>
      </c>
      <c r="C14" s="116" t="s">
        <v>57</v>
      </c>
      <c r="E14" s="116" t="s">
        <v>55</v>
      </c>
    </row>
    <row r="15" spans="2:34" x14ac:dyDescent="0.25">
      <c r="E15" s="116" t="s">
        <v>58</v>
      </c>
    </row>
    <row r="16" spans="2:34" ht="25.5" x14ac:dyDescent="0.25">
      <c r="B16" s="144" t="s">
        <v>63</v>
      </c>
      <c r="E16" s="116" t="s">
        <v>59</v>
      </c>
    </row>
    <row r="17" spans="2:5" x14ac:dyDescent="0.25">
      <c r="B17" s="116" t="s">
        <v>65</v>
      </c>
      <c r="C17" s="116"/>
      <c r="E17" s="116" t="s">
        <v>61</v>
      </c>
    </row>
    <row r="18" spans="2:5" x14ac:dyDescent="0.25">
      <c r="B18" s="116" t="s">
        <v>67</v>
      </c>
      <c r="C18" s="116"/>
      <c r="E18" s="116" t="s">
        <v>62</v>
      </c>
    </row>
    <row r="19" spans="2:5" x14ac:dyDescent="0.25">
      <c r="B19" s="116" t="s">
        <v>69</v>
      </c>
      <c r="C19" s="116"/>
      <c r="E19" s="116" t="s">
        <v>64</v>
      </c>
    </row>
    <row r="20" spans="2:5" x14ac:dyDescent="0.25">
      <c r="E20" s="116" t="s">
        <v>66</v>
      </c>
    </row>
    <row r="21" spans="2:5" x14ac:dyDescent="0.25">
      <c r="B21" s="215" t="s">
        <v>72</v>
      </c>
      <c r="C21" s="236"/>
      <c r="E21" s="116" t="s">
        <v>68</v>
      </c>
    </row>
    <row r="22" spans="2:5" x14ac:dyDescent="0.25">
      <c r="B22" s="207" t="s">
        <v>74</v>
      </c>
      <c r="C22" s="116" t="s">
        <v>75</v>
      </c>
      <c r="E22" s="116" t="s">
        <v>70</v>
      </c>
    </row>
    <row r="23" spans="2:5" x14ac:dyDescent="0.25">
      <c r="B23" s="209" t="s">
        <v>77</v>
      </c>
      <c r="C23" s="116" t="s">
        <v>78</v>
      </c>
      <c r="E23" s="116" t="s">
        <v>71</v>
      </c>
    </row>
    <row r="24" spans="2:5" x14ac:dyDescent="0.25">
      <c r="B24" s="209" t="s">
        <v>80</v>
      </c>
      <c r="C24" s="116" t="s">
        <v>81</v>
      </c>
      <c r="E24" s="116" t="s">
        <v>73</v>
      </c>
    </row>
    <row r="25" spans="2:5" x14ac:dyDescent="0.25">
      <c r="B25" s="209" t="s">
        <v>83</v>
      </c>
      <c r="C25" s="116" t="s">
        <v>84</v>
      </c>
      <c r="E25" s="116" t="s">
        <v>76</v>
      </c>
    </row>
    <row r="26" spans="2:5" x14ac:dyDescent="0.25">
      <c r="B26" s="209" t="s">
        <v>86</v>
      </c>
      <c r="C26" s="116" t="s">
        <v>87</v>
      </c>
      <c r="E26" s="116" t="s">
        <v>79</v>
      </c>
    </row>
    <row r="27" spans="2:5" x14ac:dyDescent="0.25">
      <c r="B27" s="209" t="s">
        <v>89</v>
      </c>
      <c r="C27" s="116" t="s">
        <v>90</v>
      </c>
      <c r="E27" s="116" t="s">
        <v>82</v>
      </c>
    </row>
    <row r="28" spans="2:5" x14ac:dyDescent="0.25">
      <c r="B28" s="209" t="s">
        <v>92</v>
      </c>
      <c r="C28" s="116" t="s">
        <v>93</v>
      </c>
      <c r="E28" s="116" t="s">
        <v>85</v>
      </c>
    </row>
    <row r="29" spans="2:5" x14ac:dyDescent="0.25">
      <c r="E29" s="116" t="s">
        <v>88</v>
      </c>
    </row>
    <row r="30" spans="2:5" ht="26.25" x14ac:dyDescent="0.25">
      <c r="B30" s="211" t="s">
        <v>96</v>
      </c>
      <c r="E30" s="116" t="s">
        <v>91</v>
      </c>
    </row>
    <row r="31" spans="2:5" x14ac:dyDescent="0.25">
      <c r="E31" s="116" t="s">
        <v>94</v>
      </c>
    </row>
    <row r="32" spans="2:5" x14ac:dyDescent="0.25">
      <c r="E32" s="116" t="s">
        <v>95</v>
      </c>
    </row>
    <row r="33" spans="5:5" x14ac:dyDescent="0.25">
      <c r="E33" s="116" t="s">
        <v>97</v>
      </c>
    </row>
    <row r="34" spans="5:5" x14ac:dyDescent="0.25">
      <c r="E34" s="116" t="s">
        <v>98</v>
      </c>
    </row>
    <row r="35" spans="5:5" x14ac:dyDescent="0.25">
      <c r="E35" s="116" t="s">
        <v>99</v>
      </c>
    </row>
    <row r="36" spans="5:5" x14ac:dyDescent="0.25">
      <c r="E36" s="116" t="s">
        <v>100</v>
      </c>
    </row>
    <row r="37" spans="5:5" x14ac:dyDescent="0.25">
      <c r="E37" s="116" t="s">
        <v>101</v>
      </c>
    </row>
  </sheetData>
  <sheetProtection sheet="1" objects="1" scenarios="1"/>
  <mergeCells count="1">
    <mergeCell ref="B6:C6"/>
  </mergeCell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E846B062-9567-41C7-9648-74E1ED28348E}">
            <xm:f>AND('1. Opportunity Profile'!D$14&lt;&gt;$Z$4,'1. Opportunity Profile'!D$14&lt;&gt;$Z$5)</xm:f>
            <x14:dxf/>
          </x14:cfRule>
          <xm:sqref>C44:C46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AC1A0-4C96-4B93-9616-075F7CF1980B}">
  <sheetPr codeName="Sheet6"/>
  <dimension ref="B1:C12"/>
  <sheetViews>
    <sheetView showGridLines="0" zoomScale="85" zoomScaleNormal="85" workbookViewId="0"/>
  </sheetViews>
  <sheetFormatPr defaultRowHeight="14.25" x14ac:dyDescent="0.25"/>
  <cols>
    <col min="1" max="1" width="1.85546875" customWidth="1"/>
    <col min="2" max="2" width="32" customWidth="1"/>
    <col min="3" max="3" width="17.42578125" customWidth="1"/>
  </cols>
  <sheetData>
    <row r="1" spans="2:3" ht="6.75" customHeight="1" x14ac:dyDescent="0.25"/>
    <row r="2" spans="2:3" ht="16.5" x14ac:dyDescent="0.25">
      <c r="B2" s="114" t="s">
        <v>177</v>
      </c>
      <c r="C2" s="113"/>
    </row>
    <row r="3" spans="2:3" ht="16.5" x14ac:dyDescent="0.25">
      <c r="B3" s="218" t="s">
        <v>10</v>
      </c>
      <c r="C3" s="218" t="s">
        <v>174</v>
      </c>
    </row>
    <row r="4" spans="2:3" ht="16.5" x14ac:dyDescent="0.25">
      <c r="B4" s="44" t="s">
        <v>184</v>
      </c>
      <c r="C4" s="44" t="s">
        <v>166</v>
      </c>
    </row>
    <row r="5" spans="2:3" ht="16.5" x14ac:dyDescent="0.25">
      <c r="B5" s="44" t="s">
        <v>178</v>
      </c>
      <c r="C5" s="219" t="s">
        <v>366</v>
      </c>
    </row>
    <row r="6" spans="2:3" ht="16.5" x14ac:dyDescent="0.25">
      <c r="B6" s="44" t="s">
        <v>179</v>
      </c>
      <c r="C6" s="220" t="s">
        <v>279</v>
      </c>
    </row>
    <row r="7" spans="2:3" ht="16.5" x14ac:dyDescent="0.25">
      <c r="B7" s="44" t="s">
        <v>180</v>
      </c>
      <c r="C7" s="113"/>
    </row>
    <row r="8" spans="2:3" ht="16.5" x14ac:dyDescent="0.25">
      <c r="B8" s="44" t="s">
        <v>181</v>
      </c>
      <c r="C8" s="113"/>
    </row>
    <row r="9" spans="2:3" ht="16.5" x14ac:dyDescent="0.25">
      <c r="B9" s="44" t="s">
        <v>182</v>
      </c>
      <c r="C9" s="113"/>
    </row>
    <row r="10" spans="2:3" ht="16.5" x14ac:dyDescent="0.25">
      <c r="B10" s="44" t="s">
        <v>183</v>
      </c>
      <c r="C10" s="221"/>
    </row>
    <row r="11" spans="2:3" ht="15" x14ac:dyDescent="0.25">
      <c r="B11" s="3" t="s">
        <v>320</v>
      </c>
    </row>
    <row r="12" spans="2:3" ht="15" x14ac:dyDescent="0.25">
      <c r="B12" s="2" t="s">
        <v>279</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3904B3114F65E478F8161C432D8AA5F" ma:contentTypeVersion="11" ma:contentTypeDescription="Create a new document." ma:contentTypeScope="" ma:versionID="de9869b854cd0104ff5ff03b48280ffd">
  <xsd:schema xmlns:xsd="http://www.w3.org/2001/XMLSchema" xmlns:xs="http://www.w3.org/2001/XMLSchema" xmlns:p="http://schemas.microsoft.com/office/2006/metadata/properties" xmlns:ns2="63da241b-e6ae-4f54-a3a2-3ccbb622fb9d" xmlns:ns3="1e9410ce-35a7-49b8-83e4-b61544872e3a" targetNamespace="http://schemas.microsoft.com/office/2006/metadata/properties" ma:root="true" ma:fieldsID="6be0d58a03103768955939a54842570e" ns2:_="" ns3:_="">
    <xsd:import namespace="63da241b-e6ae-4f54-a3a2-3ccbb622fb9d"/>
    <xsd:import namespace="1e9410ce-35a7-49b8-83e4-b61544872e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da241b-e6ae-4f54-a3a2-3ccbb622fb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e9410ce-35a7-49b8-83e4-b61544872e3a"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AC564D9-C275-44AB-ABF0-16D62D906FCC}">
  <ds:schemaRefs>
    <ds:schemaRef ds:uri="http://schemas.microsoft.com/PowerBIAddIn"/>
  </ds:schemaRefs>
</ds:datastoreItem>
</file>

<file path=customXml/itemProps2.xml><?xml version="1.0" encoding="utf-8"?>
<ds:datastoreItem xmlns:ds="http://schemas.openxmlformats.org/officeDocument/2006/customXml" ds:itemID="{F63DA09E-FEC1-41E7-9D9F-C72D1606A7F5}">
  <ds:schemaRefs>
    <ds:schemaRef ds:uri="http://schemas.microsoft.com/sharepoint/v3/contenttype/forms"/>
  </ds:schemaRefs>
</ds:datastoreItem>
</file>

<file path=customXml/itemProps3.xml><?xml version="1.0" encoding="utf-8"?>
<ds:datastoreItem xmlns:ds="http://schemas.openxmlformats.org/officeDocument/2006/customXml" ds:itemID="{02757289-E590-464C-82F7-BDE67B9C3FFA}"/>
</file>

<file path=customXml/itemProps4.xml><?xml version="1.0" encoding="utf-8"?>
<ds:datastoreItem xmlns:ds="http://schemas.openxmlformats.org/officeDocument/2006/customXml" ds:itemID="{B53915A2-5C84-46B7-9A43-FE2DE833B621}">
  <ds:schemaRefs>
    <ds:schemaRef ds:uri="http://schemas.microsoft.com/office/2006/documentManagement/types"/>
    <ds:schemaRef ds:uri="http://purl.org/dc/elements/1.1/"/>
    <ds:schemaRef ds:uri="http://purl.org/dc/terms/"/>
    <ds:schemaRef ds:uri="b4421bf1-96e6-4485-821f-b25858164a0d"/>
    <ds:schemaRef ds:uri="http://www.w3.org/XML/1998/namespace"/>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How To</vt:lpstr>
      <vt:lpstr>Change Log</vt:lpstr>
      <vt:lpstr>Simple Version&gt;&gt;&gt;</vt:lpstr>
      <vt:lpstr>0. Quick Solution (Infra ONLY)</vt:lpstr>
      <vt:lpstr>Comprehensive Version&gt;&gt;&gt;</vt:lpstr>
      <vt:lpstr>1. Opportunity Profile</vt:lpstr>
      <vt:lpstr>2. Desktop License Cost</vt:lpstr>
      <vt:lpstr>3. WVD Management Cost</vt:lpstr>
      <vt:lpstr>4. Infrastructure Cost</vt:lpstr>
      <vt:lpstr>Default Values (MSFT Guidance)</vt:lpstr>
      <vt:lpstr>5. Service Cost</vt:lpstr>
      <vt:lpstr>6. Cost Benefit Analysis</vt:lpstr>
      <vt:lpstr>Reference</vt:lpstr>
      <vt:lpstr>WVD Licensing Requirement</vt:lpstr>
      <vt:lpstr>Client_based</vt:lpstr>
      <vt:lpstr>Currency</vt:lpstr>
      <vt:lpstr>'0. Quick Solution (Infra ONLY)'!Currency_QS</vt:lpstr>
      <vt:lpstr>'4. Infrastructure Cost'!Currency_QS</vt:lpstr>
      <vt:lpstr>Server_based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dc:creator>
  <cp:lastModifiedBy>Michael Golubic</cp:lastModifiedBy>
  <cp:lastPrinted>2019-06-14T15:43:37Z</cp:lastPrinted>
  <dcterms:created xsi:type="dcterms:W3CDTF">2015-06-05T18:17:20Z</dcterms:created>
  <dcterms:modified xsi:type="dcterms:W3CDTF">2020-01-14T16:29:37Z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0x01010073904B3114F65E478F8161C432D8AA5F</vt:lpwstr>
  </property>
</Properties>
</file>